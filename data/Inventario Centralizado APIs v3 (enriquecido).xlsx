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atálogo_APIs" sheetId="1" r:id="rId1"/>
    <sheet name="Catálogo_Operaciones_API" sheetId="2" r:id="rId2"/>
    <sheet name="Histórico_Proyectos_API" sheetId="3" r:id="rId3"/>
    <sheet name="Dependencias_API" sheetId="4" r:id="rId4"/>
    <sheet name="Listas_Validacion"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3">
    <numFmt numFmtId="56" formatCode="&quot;上午/下午 &quot;hh&quot;時&quot;mm&quot;分&quot;ss&quot;秒 &quot;"/>
    <numFmt numFmtId="164" formatCode="General"/>
    <numFmt numFmtId="165" formatCode="yyyy\-mm\-dd\ h:mm:ss"/>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xf numFmtId="164"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W132"/>
  <sheetViews>
    <sheetView workbookViewId="0"/>
  </sheetViews>
  <cols>
    <col min="1" max="1" width="12.83203125" customWidth="1"/>
    <col min="2" max="2" width="12.83203125" customWidth="1"/>
    <col min="3" max="3" width="12.83203125" customWidth="1"/>
    <col min="4" max="4" width="13.83203125" customWidth="1"/>
    <col min="5" max="5" width="20.83203125" customWidth="1"/>
    <col min="6" max="6" width="12.83203125" customWidth="1"/>
    <col min="7" max="7" width="15.83203125" customWidth="1"/>
    <col min="8" max="8" width="17.83203125" customWidth="1"/>
    <col min="9" max="9" width="16.83203125" customWidth="1"/>
    <col min="10" max="10" width="13.83203125" customWidth="1"/>
    <col min="11" max="11" width="15.83203125" customWidth="1"/>
    <col min="12" max="12" width="32.83203125" customWidth="1"/>
    <col min="13" max="13" width="23.83203125" customWidth="1"/>
    <col min="14" max="14" width="16.83203125" customWidth="1"/>
    <col min="15" max="15" width="19.83203125" customWidth="1"/>
    <col min="16" max="16" width="20.83203125" customWidth="1"/>
    <col min="17" max="17" width="15.83203125" customWidth="1"/>
    <col min="18" max="18" width="20.83203125" customWidth="1"/>
    <col min="19" max="19" width="25.83203125" customWidth="1"/>
    <col min="20" max="20" width="30.83203125" customWidth="1"/>
    <col min="21" max="21" width="13.83203125" customWidth="1"/>
    <col min="22" max="22" width="27.83203125" customWidth="1"/>
    <col min="23" max="23" width="33.83203125" customWidth="1"/>
  </cols>
  <sheetData>
    <row r="1">
      <c r="A1" s="1" t="str">
        <v>ID API</v>
      </c>
      <c r="B1" s="1" t="str">
        <v>País</v>
      </c>
      <c r="C1" s="1" t="str">
        <v>Nombre API</v>
      </c>
      <c r="D1" s="1" t="str">
        <v>Descripción</v>
      </c>
      <c r="E1" s="1" t="str">
        <v>Tipo de Componente</v>
      </c>
      <c r="F1" s="1" t="str">
        <v>Tipo API</v>
      </c>
      <c r="G1" s="1" t="str">
        <v>Business Area</v>
      </c>
      <c r="H1" s="1" t="str">
        <v>Business Domain</v>
      </c>
      <c r="I1" s="1" t="str">
        <v>Service Domain</v>
      </c>
      <c r="J1" s="1" t="str">
        <v>Complejidad</v>
      </c>
      <c r="K1" s="1" t="str">
        <v>Estilo Diseño</v>
      </c>
      <c r="L1" s="1" t="str">
        <v>Canal Integración (Despliegue)</v>
      </c>
      <c r="M1" s="1" t="str">
        <v>URL OpenAPI (SWAGGER)</v>
      </c>
      <c r="N1" s="1" t="str">
        <v>Versión Actual</v>
      </c>
      <c r="O1" s="1" t="str">
        <v>Fecha de Registro</v>
      </c>
      <c r="P1" s="1" t="str">
        <v>Estado_General_API</v>
      </c>
      <c r="Q1" s="1" t="str">
        <v>Service Owner</v>
      </c>
      <c r="R1" s="1" t="str">
        <v>Estado de Gobierno</v>
      </c>
      <c r="S1" s="1" t="str">
        <v>Existe en Catálogo BIAN</v>
      </c>
      <c r="T1" s="1" t="str">
        <v>Posible Duplicado en Backlog</v>
      </c>
      <c r="U1" s="1" t="str">
        <v>Caso de Uso</v>
      </c>
      <c r="V1" s="1" t="str">
        <v>Repositorios Involucrados</v>
      </c>
      <c r="W1" s="1" t="str">
        <v>Excepción / Riesgo Identificado</v>
      </c>
    </row>
    <row r="2">
      <c r="A2" s="1" t="str">
        <v>D0001</v>
      </c>
      <c r="B2" s="1" t="str">
        <v>Perú</v>
      </c>
      <c r="C2" s="1" t="str">
        <v/>
      </c>
      <c r="D2" s="1" t="str">
        <v>gestiona el ciclo de vida de lineas de crédito, desde la apertura hasta el mantenimiento.</v>
      </c>
      <c r="E2" s="1" t="str">
        <v/>
      </c>
      <c r="F2" s="1" t="str">
        <v>SD</v>
      </c>
      <c r="G2" s="1" t="str">
        <v>Operations and Execution</v>
      </c>
      <c r="H2" s="1" t="str">
        <v>Trade Banking</v>
      </c>
      <c r="I2" s="1" t="str">
        <v>Credit Facility</v>
      </c>
      <c r="J2" s="1" t="str">
        <v>Media</v>
      </c>
      <c r="K2" s="1" t="str">
        <v>REST</v>
      </c>
      <c r="L2" s="1" t="str">
        <v>APIM</v>
      </c>
      <c r="M2" s="1" t="str">
        <v/>
      </c>
      <c r="N2" s="1" t="str">
        <v>v1.0.0</v>
      </c>
      <c r="O2" s="1" t="str">
        <v>2026-02-23</v>
      </c>
      <c r="P2" s="1" t="str">
        <v>Activa</v>
      </c>
      <c r="Q2" s="1" t="str">
        <v>Riesgo Crediticio - Edwin Levano</v>
      </c>
      <c r="R2" s="1" t="str">
        <v>Revisar - posible duplicado en backlog</v>
      </c>
      <c r="S2" s="1" t="str">
        <v/>
      </c>
      <c r="T2" s="1" t="str">
        <v>Sí</v>
      </c>
      <c r="U2" s="1" t="str">
        <v>Desacoplamiento de Topaz</v>
      </c>
      <c r="V2" s="1" t="str">
        <v>Topaz</v>
      </c>
      <c r="W2" s="1" t="str">
        <v/>
      </c>
    </row>
    <row r="3">
      <c r="A3" s="1" t="str">
        <v>D0002</v>
      </c>
      <c r="B3" s="1" t="str">
        <v>Perú</v>
      </c>
      <c r="C3" s="1" t="str">
        <v/>
      </c>
      <c r="D3" s="1" t="str">
        <v>calcula y mantiene la calificación crediticia del cliente, integrando datos internos y externos</v>
      </c>
      <c r="E3" s="1" t="str">
        <v/>
      </c>
      <c r="F3" s="1" t="str">
        <v>SD</v>
      </c>
      <c r="G3" s="1" t="str">
        <v>Sales and Service</v>
      </c>
      <c r="H3" s="1" t="str">
        <v>Customer Management</v>
      </c>
      <c r="I3" s="1" t="str">
        <v>Customer Credit Rating</v>
      </c>
      <c r="J3" s="1" t="str">
        <v>Media</v>
      </c>
      <c r="K3" s="1" t="str">
        <v>REST</v>
      </c>
      <c r="L3" s="1" t="str">
        <v>APIM</v>
      </c>
      <c r="M3" s="1" t="str">
        <v/>
      </c>
      <c r="N3" s="1" t="str">
        <v>v1.0.0</v>
      </c>
      <c r="O3" s="1" t="str">
        <v>2026-02-23</v>
      </c>
      <c r="P3" s="1" t="str">
        <v>Activa</v>
      </c>
      <c r="Q3" s="1" t="str">
        <v>Riesgo Crediticio - Edwin Levano</v>
      </c>
      <c r="R3" s="1" t="str">
        <v>Revisar - ya existe en catalogo BIAN, evaluar reutilizacion</v>
      </c>
      <c r="S3" s="1" t="str">
        <v/>
      </c>
      <c r="T3" s="1" t="str">
        <v>No</v>
      </c>
      <c r="U3" s="1" t="str">
        <v>Desacoplamiento de Topaz</v>
      </c>
      <c r="V3" s="1" t="str">
        <v>Topaz/Riesgos</v>
      </c>
      <c r="W3" s="1" t="str">
        <v/>
      </c>
    </row>
    <row r="4">
      <c r="A4" s="1" t="str">
        <v>D0003</v>
      </c>
      <c r="B4" s="1" t="str">
        <v>Perú</v>
      </c>
      <c r="C4" s="1" t="str">
        <v/>
      </c>
      <c r="D4" s="1" t="str">
        <v>mantiene el registro de todos los productos y servicios adquiridos por el cliente, incluyendo configuraciones y estado actual</v>
      </c>
      <c r="E4" s="1" t="str">
        <v/>
      </c>
      <c r="F4" s="1" t="str">
        <v>SD</v>
      </c>
      <c r="G4" s="1" t="str">
        <v>Sales and Service</v>
      </c>
      <c r="H4" s="1" t="str">
        <v>Customer Management</v>
      </c>
      <c r="I4" s="1" t="str">
        <v>Customer Product and Service Directory</v>
      </c>
      <c r="J4" s="1" t="str">
        <v>Media</v>
      </c>
      <c r="K4" s="1" t="str">
        <v>REST</v>
      </c>
      <c r="L4" s="1" t="str">
        <v>APIM</v>
      </c>
      <c r="M4" s="1" t="str">
        <v/>
      </c>
      <c r="N4" s="1" t="str">
        <v>v1.0.0</v>
      </c>
      <c r="O4" s="1" t="str">
        <v>2026-02-23</v>
      </c>
      <c r="P4" s="1" t="str">
        <v>Activa</v>
      </c>
      <c r="Q4" s="1" t="str">
        <v>Riesgo Crediticio - Edwin Levano</v>
      </c>
      <c r="R4" s="1" t="str">
        <v>Aprobado - modificacion sobre API existente</v>
      </c>
      <c r="S4" s="1" t="str">
        <v/>
      </c>
      <c r="T4" s="1" t="str">
        <v>No</v>
      </c>
      <c r="U4" s="1" t="str">
        <v>Desacoplamiento de Topaz</v>
      </c>
      <c r="V4" s="1" t="str">
        <v>Topaz</v>
      </c>
      <c r="W4" s="1" t="str">
        <v/>
      </c>
    </row>
    <row r="5">
      <c r="A5" s="1" t="str">
        <v>D0004</v>
      </c>
      <c r="B5" s="1" t="str">
        <v>Perú</v>
      </c>
      <c r="C5" s="1" t="str">
        <v/>
      </c>
      <c r="D5" s="1" t="str">
        <v>Exposicion de las API's de Evaluacion de Riesgo Crediticio</v>
      </c>
      <c r="E5" s="1" t="str">
        <v/>
      </c>
      <c r="F5" s="1" t="str">
        <v>PROC</v>
      </c>
      <c r="G5" s="1" t="str">
        <v>Risk &amp; Compliance</v>
      </c>
      <c r="H5" s="1" t="str">
        <v>Credit Risk Management</v>
      </c>
      <c r="I5" s="1" t="str">
        <v>Eval Credit Risk</v>
      </c>
      <c r="J5" s="1" t="str">
        <v>Media</v>
      </c>
      <c r="K5" s="1" t="str">
        <v>REST</v>
      </c>
      <c r="L5" s="1" t="str">
        <v>APIM</v>
      </c>
      <c r="M5" s="1" t="str">
        <v/>
      </c>
      <c r="N5" s="1" t="str">
        <v>v1.0.0</v>
      </c>
      <c r="O5" s="1" t="str">
        <v>2026-02-23</v>
      </c>
      <c r="P5" s="1" t="str">
        <v>Activa</v>
      </c>
      <c r="Q5" s="1" t="str">
        <v>Riesgo Crediticio - Edwin Levano</v>
      </c>
      <c r="R5" s="1" t="str">
        <v>Aprobado - creacion nueva</v>
      </c>
      <c r="S5" s="1" t="str">
        <v/>
      </c>
      <c r="T5" s="1" t="str">
        <v>No</v>
      </c>
      <c r="U5" s="1" t="str">
        <v>Desacoplamiento de Topaz</v>
      </c>
      <c r="V5" s="1" t="str">
        <v>Topaz</v>
      </c>
      <c r="W5" s="1" t="str">
        <v/>
      </c>
    </row>
    <row r="6">
      <c r="A6" s="1" t="str">
        <v>D0005</v>
      </c>
      <c r="B6" s="1" t="str">
        <v>Perú</v>
      </c>
      <c r="C6" s="1" t="str">
        <v/>
      </c>
      <c r="D6" s="1" t="str">
        <v>soporta un conjunto amplio de cálculos y evaluaciones aplicadas a estados financieros provenientes de clientes corporativos o unidades internas</v>
      </c>
      <c r="E6" s="1" t="str">
        <v/>
      </c>
      <c r="F6" s="1" t="str">
        <v>SD</v>
      </c>
      <c r="G6" s="1" t="str">
        <v>Risk and Compliance</v>
      </c>
      <c r="H6" s="1" t="str">
        <v>Regulations and Compliance</v>
      </c>
      <c r="I6" s="1" t="str">
        <v>Financial Statement Assessment</v>
      </c>
      <c r="J6" s="1" t="str">
        <v>Media</v>
      </c>
      <c r="K6" s="1" t="str">
        <v>REST</v>
      </c>
      <c r="L6" s="1" t="str">
        <v>APIM</v>
      </c>
      <c r="M6" s="1" t="str">
        <v/>
      </c>
      <c r="N6" s="1" t="str">
        <v>v1.0.0</v>
      </c>
      <c r="O6" s="1" t="str">
        <v>2026-02-23</v>
      </c>
      <c r="P6" s="1" t="str">
        <v>Activa</v>
      </c>
      <c r="Q6" s="1" t="str">
        <v>Riesgo Crediticio - Edwin Levano</v>
      </c>
      <c r="R6" s="1" t="str">
        <v>Revisar - ya existe en catalogo BIAN, evaluar reutilizacion</v>
      </c>
      <c r="S6" s="1" t="str">
        <v/>
      </c>
      <c r="T6" s="1" t="str">
        <v>No</v>
      </c>
      <c r="U6" s="1" t="str">
        <v>Desacoplamiento de Topaz</v>
      </c>
      <c r="V6" s="1" t="str">
        <v>Fico</v>
      </c>
      <c r="W6" s="1" t="str">
        <v/>
      </c>
    </row>
    <row r="7">
      <c r="A7" s="1" t="str">
        <v>D0006</v>
      </c>
      <c r="B7" s="1" t="str">
        <v>Perú</v>
      </c>
      <c r="C7" s="1" t="str">
        <v/>
      </c>
      <c r="D7" s="1" t="str">
        <v>gestiona el ciclo de vida del préstamo de consumo, desde la apertura hasta el mantenimiento y reestructuración.</v>
      </c>
      <c r="E7" s="1" t="str">
        <v/>
      </c>
      <c r="F7" s="1" t="str">
        <v>SD</v>
      </c>
      <c r="G7" s="1" t="str">
        <v>Operations and Execution</v>
      </c>
      <c r="H7" s="1" t="str">
        <v>Loans and Deposits</v>
      </c>
      <c r="I7" s="1" t="str">
        <v>Loan</v>
      </c>
      <c r="J7" s="1" t="str">
        <v>Media</v>
      </c>
      <c r="K7" s="1" t="str">
        <v>REST</v>
      </c>
      <c r="L7" s="1" t="str">
        <v>APIM</v>
      </c>
      <c r="M7" s="1" t="str">
        <v/>
      </c>
      <c r="N7" s="1" t="str">
        <v>v1.0.0</v>
      </c>
      <c r="O7" s="1" t="str">
        <v>2026-02-23</v>
      </c>
      <c r="P7" s="1" t="str">
        <v>Activa</v>
      </c>
      <c r="Q7" s="1" t="str">
        <v>Riesgo Crediticio - Edwin Levano</v>
      </c>
      <c r="R7" s="1" t="str">
        <v>Aprobado - modificacion sobre API existente</v>
      </c>
      <c r="S7" s="1" t="str">
        <v/>
      </c>
      <c r="T7" s="1" t="str">
        <v>No</v>
      </c>
      <c r="U7" s="1" t="str">
        <v>Desacoplamiento de Topaz</v>
      </c>
      <c r="V7" s="1" t="str">
        <v>Topaz</v>
      </c>
      <c r="W7" s="1" t="str">
        <v/>
      </c>
    </row>
    <row r="8">
      <c r="A8" s="1" t="str">
        <v>D0007</v>
      </c>
      <c r="B8" s="1" t="str">
        <v>Perú</v>
      </c>
      <c r="C8" s="1" t="str">
        <v/>
      </c>
      <c r="D8" s="1" t="str">
        <v>Mantener y administrar toda la información maestra de una persona natural, persona jurídica, cliente, proveedor, empleado, corresponsal, socio comercial u otra entidad relacionada con el banco</v>
      </c>
      <c r="E8" s="1" t="str">
        <v/>
      </c>
      <c r="F8" s="1" t="str">
        <v>SD</v>
      </c>
      <c r="G8" s="1" t="str">
        <v>Sales and Service</v>
      </c>
      <c r="H8" s="1" t="str">
        <v>Customer Management</v>
      </c>
      <c r="I8" s="1" t="str">
        <v>Party Reference Data Directory</v>
      </c>
      <c r="J8" s="1" t="str">
        <v>Media</v>
      </c>
      <c r="K8" s="1" t="str">
        <v>REST</v>
      </c>
      <c r="L8" s="1" t="str">
        <v>APIM</v>
      </c>
      <c r="M8" s="1" t="str">
        <v/>
      </c>
      <c r="N8" s="1" t="str">
        <v>v1.0.0</v>
      </c>
      <c r="O8" s="1" t="str">
        <v>2026-03-23</v>
      </c>
      <c r="P8" s="1" t="str">
        <v>Activa</v>
      </c>
      <c r="Q8" s="1" t="str">
        <v>Riesgo Crediticio - Edwin Levano</v>
      </c>
      <c r="R8" s="1" t="str">
        <v>Aprobado - reutilizacion</v>
      </c>
      <c r="S8" s="1" t="str">
        <v/>
      </c>
      <c r="T8" s="1" t="str">
        <v>No</v>
      </c>
      <c r="U8" s="1" t="str">
        <v>Desacoplamiento de Topaz</v>
      </c>
      <c r="V8" s="1" t="str">
        <v>Topaz</v>
      </c>
      <c r="W8" s="1" t="str">
        <v/>
      </c>
    </row>
    <row r="9">
      <c r="A9" s="1" t="str">
        <v>D0008</v>
      </c>
      <c r="B9" s="1" t="str">
        <v>Perú</v>
      </c>
      <c r="C9" s="1" t="str">
        <v/>
      </c>
      <c r="D9" s="1" t="str">
        <v>gestiona el proceso de decisión para la obteción de productos financieros, principalmente préstamos y lineas de crédito</v>
      </c>
      <c r="E9" s="1" t="str">
        <v/>
      </c>
      <c r="F9" s="1" t="str">
        <v>SD</v>
      </c>
      <c r="G9" s="1" t="str">
        <v>Sales and Service</v>
      </c>
      <c r="H9" s="1" t="str">
        <v>Sales</v>
      </c>
      <c r="I9" s="1" t="str">
        <v>Underwriting</v>
      </c>
      <c r="J9" s="1" t="str">
        <v>Media</v>
      </c>
      <c r="K9" s="1" t="str">
        <v>REST</v>
      </c>
      <c r="L9" s="1" t="str">
        <v>APIM</v>
      </c>
      <c r="M9" s="1" t="str">
        <v/>
      </c>
      <c r="N9" s="1" t="str">
        <v>v1.0.0</v>
      </c>
      <c r="O9" s="1" t="str">
        <v>2026-02-23</v>
      </c>
      <c r="P9" s="1" t="str">
        <v>Activa</v>
      </c>
      <c r="Q9" s="1" t="str">
        <v>Riesgo Crediticio - Edwin Levano</v>
      </c>
      <c r="R9" s="1" t="str">
        <v>Revisar - posible duplicado en backlog</v>
      </c>
      <c r="S9" s="1" t="str">
        <v/>
      </c>
      <c r="T9" s="1" t="str">
        <v>Sí</v>
      </c>
      <c r="U9" s="1" t="str">
        <v>Desacoplamiento de Topaz</v>
      </c>
      <c r="V9" s="1" t="str">
        <v>Fico</v>
      </c>
      <c r="W9" s="1" t="str">
        <v/>
      </c>
    </row>
    <row r="10">
      <c r="A10" s="1" t="str">
        <v>D0009</v>
      </c>
      <c r="B10" s="1" t="str">
        <v>Perú</v>
      </c>
      <c r="C10" s="1" t="str">
        <v/>
      </c>
      <c r="D10" s="1" t="str">
        <v>soporta un conjunto amplio de cálculos y evaluaciones aplicadas a estados financieros provenientes de clientes corporativos o unidades internas</v>
      </c>
      <c r="E10" s="1" t="str">
        <v/>
      </c>
      <c r="F10" s="1" t="str">
        <v>SD</v>
      </c>
      <c r="G10" s="1" t="str">
        <v>Sales and Service</v>
      </c>
      <c r="H10" s="1" t="str">
        <v>Sales</v>
      </c>
      <c r="I10" s="1" t="str">
        <v>Customer Offer</v>
      </c>
      <c r="J10" s="1" t="str">
        <v>Media</v>
      </c>
      <c r="K10" s="1" t="str">
        <v>REST</v>
      </c>
      <c r="L10" s="1" t="str">
        <v>APIM</v>
      </c>
      <c r="M10" s="1" t="str">
        <v/>
      </c>
      <c r="N10" s="1" t="str">
        <v>v1.0.0</v>
      </c>
      <c r="O10" s="1" t="str">
        <v>2026-03-23</v>
      </c>
      <c r="P10" s="1" t="str">
        <v>Activa</v>
      </c>
      <c r="Q10" s="1" t="str">
        <v>Riesgo Crediticio - Edwin Levano</v>
      </c>
      <c r="R10" s="1" t="str">
        <v>Aprobado - modificacion sobre API existente</v>
      </c>
      <c r="S10" s="1" t="str">
        <v/>
      </c>
      <c r="T10" s="1" t="str">
        <v>No</v>
      </c>
      <c r="U10" s="1" t="str">
        <v>Evaluación de Politicas Release 3 - Se añadieron nuevos parametros y nuevas fuentes de información para la evaluación</v>
      </c>
      <c r="V10" s="1" t="str">
        <v>Fico</v>
      </c>
      <c r="W10" s="1" t="str">
        <v/>
      </c>
    </row>
    <row r="11">
      <c r="A11" s="1" t="str">
        <v>D0010</v>
      </c>
      <c r="B11" s="1" t="str">
        <v>Perú</v>
      </c>
      <c r="C11" s="1" t="str">
        <v/>
      </c>
      <c r="D11" s="1" t="str">
        <v>gestiona el ciclo de vida de lineas de crédito, desde la apertura hasta el mantenimiento.</v>
      </c>
      <c r="E11" s="1" t="str">
        <v/>
      </c>
      <c r="F11" s="1" t="str">
        <v>SD</v>
      </c>
      <c r="G11" s="1" t="str">
        <v>Sales and Service</v>
      </c>
      <c r="H11" s="1" t="str">
        <v>Sales</v>
      </c>
      <c r="I11" s="1" t="str">
        <v>Customer Product and Service Directory</v>
      </c>
      <c r="J11" s="1" t="str">
        <v>Media</v>
      </c>
      <c r="K11" s="1" t="str">
        <v>REST</v>
      </c>
      <c r="L11" s="1" t="str">
        <v>APIM</v>
      </c>
      <c r="M11" s="1" t="str">
        <v/>
      </c>
      <c r="N11" s="1" t="str">
        <v>v1.0.0</v>
      </c>
      <c r="O11" s="1" t="str">
        <v>2026-03-23</v>
      </c>
      <c r="P11" s="1" t="str">
        <v>En Desarrollo</v>
      </c>
      <c r="Q11" s="1" t="str">
        <v>Riesgo Crediticio - Edwin Levano</v>
      </c>
      <c r="R11" s="1" t="str">
        <v>Aprobado - modificacion sobre API existente</v>
      </c>
      <c r="S11" s="1" t="str">
        <v/>
      </c>
      <c r="T11" s="1" t="str">
        <v>No</v>
      </c>
      <c r="U11" s="1" t="str">
        <v>Evaluación de Politicas Release 3 - Se añadieron nuevos parametros y nuevas fuentes de información para la evaluación</v>
      </c>
      <c r="V11" s="1" t="str">
        <v>Topaz</v>
      </c>
      <c r="W11" s="1" t="str">
        <v/>
      </c>
    </row>
    <row r="12">
      <c r="A12" s="1" t="str">
        <v>D0011</v>
      </c>
      <c r="B12" s="1" t="str">
        <v>Perú</v>
      </c>
      <c r="C12" s="1" t="str">
        <v/>
      </c>
      <c r="D12" s="1" t="str">
        <v>calcula y mantiene la calificación crediticia del cliente, integrando datos internos y externos</v>
      </c>
      <c r="E12" s="1" t="str">
        <v/>
      </c>
      <c r="F12" s="1" t="str">
        <v>SD</v>
      </c>
      <c r="G12" s="1" t="str">
        <v>Risk and Compliance</v>
      </c>
      <c r="H12" s="1" t="str">
        <v>Regulations and Compliance</v>
      </c>
      <c r="I12" s="1" t="str">
        <v>Regulatory Compliance</v>
      </c>
      <c r="J12" s="1" t="str">
        <v>Media</v>
      </c>
      <c r="K12" s="1" t="str">
        <v>REST</v>
      </c>
      <c r="L12" s="1" t="str">
        <v>APIM</v>
      </c>
      <c r="M12" s="1" t="str">
        <v/>
      </c>
      <c r="N12" s="1" t="str">
        <v>v1.0.0</v>
      </c>
      <c r="O12" s="1" t="str">
        <v>2026-03-26</v>
      </c>
      <c r="P12" s="1" t="str">
        <v>En Desarrollo</v>
      </c>
      <c r="Q12" s="1" t="str">
        <v>Riesgo Crediticio - Edwin Levano</v>
      </c>
      <c r="R12" s="1" t="str">
        <v>Aprobado - modificacion sobre API existente</v>
      </c>
      <c r="S12" s="1" t="str">
        <v/>
      </c>
      <c r="T12" s="1" t="str">
        <v>No</v>
      </c>
      <c r="U12" s="1" t="str">
        <v>Evaluación de Politicas Release 3 - Se añadieron nuevos parametros y nuevas fuentes de información para la evaluación</v>
      </c>
      <c r="V12" s="1" t="str">
        <v>Topaz/Riesgos</v>
      </c>
      <c r="W12" s="1" t="str">
        <v/>
      </c>
    </row>
    <row r="13">
      <c r="A13" s="1" t="str">
        <v>D0012</v>
      </c>
      <c r="B13" s="1" t="str">
        <v>Perú</v>
      </c>
      <c r="C13" s="1" t="str">
        <v/>
      </c>
      <c r="D13" s="1" t="str">
        <v>Orquestar el procesamiento de una oferta de producto o servicio para un cliente, ya sea nuevo o existente</v>
      </c>
      <c r="E13" s="1" t="str">
        <v/>
      </c>
      <c r="F13" s="1" t="str">
        <v>SD</v>
      </c>
      <c r="G13" s="1" t="str">
        <v>Operations and Execution</v>
      </c>
      <c r="H13" s="1" t="str">
        <v>Consumer Services</v>
      </c>
      <c r="I13" s="1" t="str">
        <v>Brokered Product</v>
      </c>
      <c r="J13" s="1" t="str">
        <v>Media</v>
      </c>
      <c r="K13" s="1" t="str">
        <v>REST</v>
      </c>
      <c r="L13" s="1" t="str">
        <v>APIM</v>
      </c>
      <c r="M13" s="1" t="str">
        <v/>
      </c>
      <c r="N13" s="1" t="str">
        <v>v1.0.0</v>
      </c>
      <c r="O13" s="1" t="str">
        <v>2026-03-26</v>
      </c>
      <c r="P13" s="1" t="str">
        <v>Activa</v>
      </c>
      <c r="Q13" s="1" t="str">
        <v>Riesgo Crediticio - Edwin Levano</v>
      </c>
      <c r="R13" s="1" t="str">
        <v>Aprobado - modificacion sobre API existente</v>
      </c>
      <c r="S13" s="1" t="str">
        <v/>
      </c>
      <c r="T13" s="1" t="str">
        <v>No</v>
      </c>
      <c r="U13" s="1" t="str">
        <v>Evaluación de Politicas Release 3 - Se añadieron nuevos parametros y nuevas fuentes de información para la evaluación</v>
      </c>
      <c r="V13" s="1" t="str">
        <v>Topaz</v>
      </c>
      <c r="W13" s="1" t="str">
        <v/>
      </c>
    </row>
    <row r="14">
      <c r="A14" s="1" t="str">
        <v>D0013</v>
      </c>
      <c r="B14" s="1" t="str">
        <v>Perú</v>
      </c>
      <c r="C14" s="1" t="str">
        <v/>
      </c>
      <c r="D14" s="1" t="str">
        <v>mantiene el registro de todos los productos y servicios adquiridos por el cliente, incluyendo configuraciones y estado actual</v>
      </c>
      <c r="E14" s="1" t="str">
        <v/>
      </c>
      <c r="F14" s="1" t="str">
        <v>SD</v>
      </c>
      <c r="G14" s="1" t="str">
        <v>Sales and Service</v>
      </c>
      <c r="H14" s="1" t="str">
        <v>Customer Management</v>
      </c>
      <c r="I14" s="1" t="str">
        <v>Customer Agreement</v>
      </c>
      <c r="J14" s="1" t="str">
        <v>Media</v>
      </c>
      <c r="K14" s="1" t="str">
        <v>REST</v>
      </c>
      <c r="L14" s="1" t="str">
        <v>APIM</v>
      </c>
      <c r="M14" s="1" t="str">
        <v/>
      </c>
      <c r="N14" s="1" t="str">
        <v>v1.0.0</v>
      </c>
      <c r="O14" s="1" t="str">
        <v>2026-03-26</v>
      </c>
      <c r="P14" s="1" t="str">
        <v>En Desarrollo</v>
      </c>
      <c r="Q14" s="1" t="str">
        <v>Riesgo Crediticio - Edwin Levano</v>
      </c>
      <c r="R14" s="1" t="str">
        <v>Aprobado - modificacion sobre API existente</v>
      </c>
      <c r="S14" s="1" t="str">
        <v/>
      </c>
      <c r="T14" s="1" t="str">
        <v>No</v>
      </c>
      <c r="U14" s="1" t="str">
        <v>Evaluación de Politicas Release 3 - Se añadieron nuevos parametros y nuevas fuentes de información para la evaluación</v>
      </c>
      <c r="V14" s="1" t="str">
        <v>Fico</v>
      </c>
      <c r="W14" s="1" t="str">
        <v/>
      </c>
    </row>
    <row r="15">
      <c r="A15" s="1" t="str">
        <v>D0014</v>
      </c>
      <c r="B15" s="1" t="str">
        <v>Perú</v>
      </c>
      <c r="C15" s="1" t="str">
        <v/>
      </c>
      <c r="D15" s="1" t="str">
        <v>soporta un conjunto amplio de cálculos y evaluaciones aplicadas a estados financieros provenientes de clientes corporativos o unidades internas</v>
      </c>
      <c r="E15" s="1" t="str">
        <v/>
      </c>
      <c r="F15" s="1" t="str">
        <v>SD</v>
      </c>
      <c r="G15" s="1" t="str">
        <v>Sales and Service</v>
      </c>
      <c r="H15" s="1" t="str">
        <v>Customer Management</v>
      </c>
      <c r="I15" s="1" t="str">
        <v>Customer Product And Service Eligibility</v>
      </c>
      <c r="J15" s="1" t="str">
        <v>Media</v>
      </c>
      <c r="K15" s="1" t="str">
        <v>REST</v>
      </c>
      <c r="L15" s="1" t="str">
        <v>APIM</v>
      </c>
      <c r="M15" s="1" t="str">
        <v/>
      </c>
      <c r="N15" s="1" t="str">
        <v>v1.0.0</v>
      </c>
      <c r="O15" s="1" t="str">
        <v>2026-03-26</v>
      </c>
      <c r="P15" s="1" t="str">
        <v>En Desarrollo</v>
      </c>
      <c r="Q15" s="1" t="str">
        <v>Riesgo Crediticio - Edwin Levano</v>
      </c>
      <c r="R15" s="1" t="str">
        <v>Aprobado - modificacion sobre API existente</v>
      </c>
      <c r="S15" s="1" t="str">
        <v/>
      </c>
      <c r="T15" s="1" t="str">
        <v>No</v>
      </c>
      <c r="U15" s="1" t="str">
        <v>Evaluación de Politicas Release 3 - Se añadieron nuevos parametros y nuevas fuentes de información para la evaluación</v>
      </c>
      <c r="V15" s="1" t="str">
        <v>Fico</v>
      </c>
      <c r="W15" s="1" t="str">
        <v/>
      </c>
    </row>
    <row r="16">
      <c r="A16" s="1" t="str">
        <v>D0015</v>
      </c>
      <c r="B16" s="1" t="str">
        <v>Perú</v>
      </c>
      <c r="C16" s="1" t="str">
        <v/>
      </c>
      <c r="D16" s="1" t="str">
        <v>gestiona el ciclo de vida del préstamo de consumo, desde la apertura hasta el mantenimiento y reestructuración.</v>
      </c>
      <c r="E16" s="1" t="str">
        <v/>
      </c>
      <c r="F16" s="1" t="str">
        <v>SD</v>
      </c>
      <c r="G16" s="1" t="str">
        <v>Reference Data</v>
      </c>
      <c r="H16" s="1" t="str">
        <v>Product Management</v>
      </c>
      <c r="I16" s="1" t="str">
        <v>Discount Pricing</v>
      </c>
      <c r="J16" s="1" t="str">
        <v>Media</v>
      </c>
      <c r="K16" s="1" t="str">
        <v>REST</v>
      </c>
      <c r="L16" s="1" t="str">
        <v>APIM</v>
      </c>
      <c r="M16" s="1" t="str">
        <v/>
      </c>
      <c r="N16" s="1" t="str">
        <v>v1.0.0</v>
      </c>
      <c r="O16" s="1" t="str">
        <v>2026-03-26</v>
      </c>
      <c r="P16" s="1" t="str">
        <v>Activa</v>
      </c>
      <c r="Q16" s="1" t="str">
        <v>Riesgo Crediticio - Edwin Levano</v>
      </c>
      <c r="R16" s="1" t="str">
        <v>Aprobado - modificacion sobre API existente</v>
      </c>
      <c r="S16" s="1" t="str">
        <v/>
      </c>
      <c r="T16" s="1" t="str">
        <v>No</v>
      </c>
      <c r="U16" s="1" t="str">
        <v>Evaluación de Politicas Release 3 - Se añadieron nuevos parametros y nuevas fuentes de información para la evaluación</v>
      </c>
      <c r="V16" s="1" t="str">
        <v>Topaz</v>
      </c>
      <c r="W16" s="1" t="str">
        <v/>
      </c>
    </row>
    <row r="17">
      <c r="A17" s="1" t="str">
        <v>D0016</v>
      </c>
      <c r="B17" s="1" t="str">
        <v>Perú</v>
      </c>
      <c r="C17" s="1" t="str">
        <v/>
      </c>
      <c r="D17" s="1" t="str">
        <v>gestiona el proceso de decisión para la obteción de productos financieros, principalmente préstamos y lineas de crédito</v>
      </c>
      <c r="E17" s="1" t="str">
        <v/>
      </c>
      <c r="F17" s="1" t="str">
        <v>SD</v>
      </c>
      <c r="G17" s="1" t="str">
        <v>Business Support</v>
      </c>
      <c r="H17" s="1" t="str">
        <v>Document Management and Archive</v>
      </c>
      <c r="I17" s="1" t="str">
        <v>Document Services</v>
      </c>
      <c r="J17" s="1" t="str">
        <v>Media</v>
      </c>
      <c r="K17" s="1" t="str">
        <v>REST</v>
      </c>
      <c r="L17" s="1" t="str">
        <v>APIM</v>
      </c>
      <c r="M17" s="1" t="str">
        <v/>
      </c>
      <c r="N17" s="1" t="str">
        <v>v1.0.0</v>
      </c>
      <c r="O17" s="1" t="str">
        <v>2026-03-26</v>
      </c>
      <c r="P17" s="1" t="str">
        <v>En Desarrollo</v>
      </c>
      <c r="Q17" s="1" t="str">
        <v>Riesgo Crediticio - Edwin Levano</v>
      </c>
      <c r="R17" s="1" t="str">
        <v>Aprobado - modificacion sobre API existente</v>
      </c>
      <c r="S17" s="1" t="str">
        <v/>
      </c>
      <c r="T17" s="1" t="str">
        <v>No</v>
      </c>
      <c r="U17" s="1" t="str">
        <v>Evaluación de Politicas Release 3 - Se añadieron nuevos parametros y nuevas fuentes de información para la evaluación</v>
      </c>
      <c r="V17" s="1" t="str">
        <v>Fico</v>
      </c>
      <c r="W17" s="1" t="str">
        <v/>
      </c>
    </row>
    <row r="18">
      <c r="A18" s="1" t="str">
        <v>D0017</v>
      </c>
      <c r="B18" s="1" t="str">
        <v>Perú</v>
      </c>
      <c r="C18" s="1" t="str">
        <v/>
      </c>
      <c r="D18" s="1" t="str">
        <v>responsable de evaluar, registrar, gestionar y exponer el cumplimiento regulatorio del banco, asegurando que todas las actividades estén alineadas con las normativas externas aplicables</v>
      </c>
      <c r="E18" s="1" t="str">
        <v/>
      </c>
      <c r="F18" s="1" t="str">
        <v>SD</v>
      </c>
      <c r="G18" s="1" t="str">
        <v>Operations and Execution</v>
      </c>
      <c r="H18" s="1" t="str">
        <v>Payments</v>
      </c>
      <c r="I18" s="1" t="str">
        <v>Payment Order</v>
      </c>
      <c r="J18" s="1" t="str">
        <v>Media</v>
      </c>
      <c r="K18" s="1" t="str">
        <v>REST</v>
      </c>
      <c r="L18" s="1" t="str">
        <v>APIM</v>
      </c>
      <c r="M18" s="1" t="str">
        <v/>
      </c>
      <c r="N18" s="1" t="str">
        <v>v1.0.0</v>
      </c>
      <c r="O18" s="1" t="str">
        <v>2026-03-26</v>
      </c>
      <c r="P18" s="1" t="str">
        <v>Activa</v>
      </c>
      <c r="Q18" s="1" t="str">
        <v>Riesgo Crediticio - Edwin Levano</v>
      </c>
      <c r="R18" s="1" t="str">
        <v>Revisar - posible duplicado en backlog</v>
      </c>
      <c r="S18" s="1" t="str">
        <v/>
      </c>
      <c r="T18" s="1" t="str">
        <v>Sí</v>
      </c>
      <c r="U18" s="1" t="str">
        <v/>
      </c>
      <c r="V18" s="1" t="str">
        <v>Topaz/Riesgos</v>
      </c>
      <c r="W18" s="1" t="str">
        <v/>
      </c>
    </row>
    <row r="19">
      <c r="A19" s="1" t="str">
        <v>D0018</v>
      </c>
      <c r="B19" s="1" t="str">
        <v>Perú</v>
      </c>
      <c r="C19" s="1" t="str">
        <v/>
      </c>
      <c r="D19" s="1" t="str">
        <v>gestiona el proceso de decisión para la obteción de productos financieros, principalmente préstamos y lineas de crédito</v>
      </c>
      <c r="E19" s="1" t="str">
        <v/>
      </c>
      <c r="F19" s="1" t="str">
        <v>SD</v>
      </c>
      <c r="G19" s="1" t="str">
        <v>Sales and Service</v>
      </c>
      <c r="H19" s="1" t="str">
        <v>Servicing</v>
      </c>
      <c r="I19" s="1" t="str">
        <v>Servicing Order</v>
      </c>
      <c r="J19" s="1" t="str">
        <v>Media</v>
      </c>
      <c r="K19" s="1" t="str">
        <v>REST</v>
      </c>
      <c r="L19" s="1" t="str">
        <v>APIM</v>
      </c>
      <c r="M19" s="1" t="str">
        <v/>
      </c>
      <c r="N19" s="1" t="str">
        <v>v1.0.0</v>
      </c>
      <c r="O19" s="1" t="str">
        <v>2026-03-26</v>
      </c>
      <c r="P19" s="1" t="str">
        <v/>
      </c>
      <c r="Q19" s="1" t="str">
        <v>Riesgo Crediticio - Edwin Levano</v>
      </c>
      <c r="R19" s="1" t="str">
        <v>Aprobado - modificacion sobre API existente</v>
      </c>
      <c r="S19" s="1" t="str">
        <v/>
      </c>
      <c r="T19" s="1" t="str">
        <v>No</v>
      </c>
      <c r="U19" s="1" t="str">
        <v/>
      </c>
      <c r="V19" s="1" t="str">
        <v>Topaz/Riesgos/FICO</v>
      </c>
      <c r="W19" s="1" t="str">
        <v/>
      </c>
    </row>
    <row r="20">
      <c r="A20" s="1" t="str">
        <v>D0019</v>
      </c>
      <c r="B20" s="1" t="str">
        <v>Perú</v>
      </c>
      <c r="C20" s="1" t="str">
        <v/>
      </c>
      <c r="D20" s="1" t="str">
        <v/>
      </c>
      <c r="E20" s="1" t="str">
        <v/>
      </c>
      <c r="F20" s="1" t="str">
        <v>SD</v>
      </c>
      <c r="G20" s="1" t="str">
        <v>Operations and Execution</v>
      </c>
      <c r="H20" s="1" t="str">
        <v>Operational Services</v>
      </c>
      <c r="I20" s="1" t="str">
        <v>Disbursement</v>
      </c>
      <c r="J20" s="1" t="str">
        <v/>
      </c>
      <c r="K20" s="1" t="str">
        <v>REST</v>
      </c>
      <c r="L20" s="1" t="str">
        <v>APIM</v>
      </c>
      <c r="M20" s="1" t="str">
        <v/>
      </c>
      <c r="N20" s="1" t="str">
        <v>v1.0.0</v>
      </c>
      <c r="O20" s="1" t="str">
        <v>2026-02-23</v>
      </c>
      <c r="P20" s="1" t="str">
        <v>Activa</v>
      </c>
      <c r="Q20" s="1" t="str">
        <v/>
      </c>
      <c r="R20" s="1" t="str">
        <v/>
      </c>
      <c r="S20" s="1" t="str">
        <v/>
      </c>
      <c r="T20" s="1" t="str">
        <v/>
      </c>
      <c r="U20" s="1" t="str">
        <v/>
      </c>
      <c r="V20" s="1" t="str">
        <v/>
      </c>
      <c r="W20" s="1" t="str">
        <v/>
      </c>
    </row>
    <row r="21">
      <c r="A21" s="1" t="str">
        <v>D0020</v>
      </c>
      <c r="B21" s="1" t="str">
        <v>Perú</v>
      </c>
      <c r="C21" s="1" t="str">
        <v>API SD BIAN - Product Directory</v>
      </c>
      <c r="D21" s="1" t="str">
        <v>API Service Domain BIAN - Product Directory API que expone operaciones para consultar el directorio de productos/servicios del banco y sus características asociadas; incluye Eligibility Service.</v>
      </c>
      <c r="E21" s="1" t="str">
        <v/>
      </c>
      <c r="F21" s="1" t="str">
        <v>SD</v>
      </c>
      <c r="G21" s="1" t="str">
        <v>Product Catalog</v>
      </c>
      <c r="H21" s="1" t="str">
        <v>Product Management</v>
      </c>
      <c r="I21" s="1" t="str">
        <v>Product Directory</v>
      </c>
      <c r="J21" s="1" t="str">
        <v/>
      </c>
      <c r="K21" s="1" t="str">
        <v>REST</v>
      </c>
      <c r="L21" s="1" t="str">
        <v>APIM</v>
      </c>
      <c r="M21" s="1" t="str">
        <v/>
      </c>
      <c r="N21" s="1" t="str">
        <v>v1.0.0</v>
      </c>
      <c r="O21" s="1" t="str">
        <v>2026-02-23</v>
      </c>
      <c r="P21" s="1" t="str">
        <v>Activa</v>
      </c>
      <c r="Q21" s="1" t="str">
        <v/>
      </c>
      <c r="R21" s="1" t="str">
        <v/>
      </c>
      <c r="S21" s="1" t="str">
        <v/>
      </c>
      <c r="T21" s="1" t="str">
        <v/>
      </c>
      <c r="U21" s="1" t="str">
        <v/>
      </c>
      <c r="V21" s="1" t="str">
        <v/>
      </c>
      <c r="W21" s="1" t="str">
        <v/>
      </c>
    </row>
    <row r="22">
      <c r="A22" s="1" t="str">
        <v>D0021</v>
      </c>
      <c r="B22" s="1" t="str">
        <v>Perú</v>
      </c>
      <c r="C22" s="1" t="str">
        <v/>
      </c>
      <c r="D22" s="1" t="str">
        <v/>
      </c>
      <c r="E22" s="1" t="str">
        <v/>
      </c>
      <c r="F22" s="1" t="str">
        <v>SD</v>
      </c>
      <c r="G22" s="1" t="str">
        <v>Operations and Execution</v>
      </c>
      <c r="H22" s="1" t="str">
        <v>Loans and Deposits</v>
      </c>
      <c r="I22" s="1" t="str">
        <v>Savings Account</v>
      </c>
      <c r="J22" s="1" t="str">
        <v/>
      </c>
      <c r="K22" s="1" t="str">
        <v>REST</v>
      </c>
      <c r="L22" s="1" t="str">
        <v>APIM</v>
      </c>
      <c r="M22" s="1" t="str">
        <v/>
      </c>
      <c r="N22" s="1" t="str">
        <v>v1.0.0</v>
      </c>
      <c r="O22" s="1" t="str">
        <v>2026-02-23</v>
      </c>
      <c r="P22" s="1" t="str">
        <v>Activa</v>
      </c>
      <c r="Q22" s="1" t="str">
        <v/>
      </c>
      <c r="R22" s="1" t="str">
        <v/>
      </c>
      <c r="S22" s="1" t="str">
        <v/>
      </c>
      <c r="T22" s="1" t="str">
        <v/>
      </c>
      <c r="U22" s="1" t="str">
        <v/>
      </c>
      <c r="V22" s="1" t="str">
        <v/>
      </c>
      <c r="W22" s="1" t="str">
        <v/>
      </c>
    </row>
    <row r="23">
      <c r="A23" s="1" t="str">
        <v>D0022</v>
      </c>
      <c r="B23" s="1" t="str">
        <v>Perú</v>
      </c>
      <c r="C23" s="1" t="str">
        <v/>
      </c>
      <c r="D23" s="1" t="str">
        <v/>
      </c>
      <c r="E23" s="1" t="str">
        <v/>
      </c>
      <c r="F23" s="1" t="str">
        <v>SD</v>
      </c>
      <c r="G23" s="1" t="str">
        <v>IT Management</v>
      </c>
      <c r="H23" s="1" t="str">
        <v>IT Management</v>
      </c>
      <c r="I23" s="1" t="str">
        <v>Systems Operations</v>
      </c>
      <c r="J23" s="1" t="str">
        <v/>
      </c>
      <c r="K23" s="1" t="str">
        <v>REST</v>
      </c>
      <c r="L23" s="1" t="str">
        <v>APIM</v>
      </c>
      <c r="M23" s="1" t="str">
        <v/>
      </c>
      <c r="N23" s="1" t="str">
        <v>v1.0.0</v>
      </c>
      <c r="O23" s="1" t="str">
        <v>2026-03-06</v>
      </c>
      <c r="P23" s="1" t="str">
        <v>En Desarrollo</v>
      </c>
      <c r="Q23" s="1" t="str">
        <v/>
      </c>
      <c r="R23" s="1" t="str">
        <v/>
      </c>
      <c r="S23" s="1" t="str">
        <v/>
      </c>
      <c r="T23" s="1" t="str">
        <v/>
      </c>
      <c r="U23" s="1" t="str">
        <v/>
      </c>
      <c r="V23" s="1" t="str">
        <v/>
      </c>
      <c r="W23" s="1" t="str">
        <v/>
      </c>
    </row>
    <row r="24">
      <c r="A24" s="1" t="str">
        <v>D0023</v>
      </c>
      <c r="B24" s="1" t="str">
        <v>Perú</v>
      </c>
      <c r="C24" s="1" t="str">
        <v/>
      </c>
      <c r="D24" s="1" t="str">
        <v/>
      </c>
      <c r="E24" s="1" t="str">
        <v/>
      </c>
      <c r="F24" s="1" t="str">
        <v>SD</v>
      </c>
      <c r="G24" s="1" t="str">
        <v>Loans and Deposits</v>
      </c>
      <c r="H24" s="1" t="str">
        <v>Loans and Deposits</v>
      </c>
      <c r="I24" s="1" t="str">
        <v>Current Account</v>
      </c>
      <c r="J24" s="1" t="str">
        <v/>
      </c>
      <c r="K24" s="1" t="str">
        <v>REST</v>
      </c>
      <c r="L24" s="1" t="str">
        <v>APIM</v>
      </c>
      <c r="M24" s="1" t="str">
        <v/>
      </c>
      <c r="N24" s="1" t="str">
        <v>v1.0.0</v>
      </c>
      <c r="O24" s="1" t="str">
        <v>2026-03-06</v>
      </c>
      <c r="P24" s="1" t="str">
        <v>En Desarrollo</v>
      </c>
      <c r="Q24" s="1" t="str">
        <v/>
      </c>
      <c r="R24" s="1" t="str">
        <v/>
      </c>
      <c r="S24" s="1" t="str">
        <v/>
      </c>
      <c r="T24" s="1" t="str">
        <v/>
      </c>
      <c r="U24" s="1" t="str">
        <v/>
      </c>
      <c r="V24" s="1" t="str">
        <v/>
      </c>
      <c r="W24" s="1" t="str">
        <v/>
      </c>
    </row>
    <row r="25">
      <c r="A25" s="1" t="str">
        <v>D0024</v>
      </c>
      <c r="B25" s="1" t="str">
        <v>Perú</v>
      </c>
      <c r="C25" s="1" t="str">
        <v/>
      </c>
      <c r="D25" s="1" t="str">
        <v/>
      </c>
      <c r="E25" s="1" t="str">
        <v/>
      </c>
      <c r="F25" s="1" t="str">
        <v>SD</v>
      </c>
      <c r="G25" s="1" t="str">
        <v>Cross Channel</v>
      </c>
      <c r="H25" s="1" t="str">
        <v>Cross Channel</v>
      </c>
      <c r="I25" s="1" t="str">
        <v>Party Authentication</v>
      </c>
      <c r="J25" s="1" t="str">
        <v/>
      </c>
      <c r="K25" s="1" t="str">
        <v>REST</v>
      </c>
      <c r="L25" s="1" t="str">
        <v>APIM</v>
      </c>
      <c r="M25" s="1" t="str">
        <v/>
      </c>
      <c r="N25" s="1" t="str">
        <v>v1.0.0</v>
      </c>
      <c r="O25" s="1" t="str">
        <v>2026-03-06</v>
      </c>
      <c r="P25" s="1" t="str">
        <v>Activa</v>
      </c>
      <c r="Q25" s="1" t="str">
        <v/>
      </c>
      <c r="R25" s="1" t="str">
        <v/>
      </c>
      <c r="S25" s="1" t="str">
        <v/>
      </c>
      <c r="T25" s="1" t="str">
        <v/>
      </c>
      <c r="U25" s="1" t="str">
        <v/>
      </c>
      <c r="V25" s="1" t="str">
        <v/>
      </c>
      <c r="W25" s="1" t="str">
        <v/>
      </c>
    </row>
    <row r="26">
      <c r="A26" s="1" t="str">
        <v>D0025</v>
      </c>
      <c r="B26" s="1" t="str">
        <v>Perú</v>
      </c>
      <c r="C26" s="1" t="str">
        <v/>
      </c>
      <c r="D26" s="1" t="str">
        <v/>
      </c>
      <c r="E26" s="1" t="str">
        <v/>
      </c>
      <c r="F26" s="1" t="str">
        <v>SD</v>
      </c>
      <c r="G26" s="1" t="str">
        <v>Customer Management</v>
      </c>
      <c r="H26" s="1" t="str">
        <v>Customer Management</v>
      </c>
      <c r="I26" s="1" t="str">
        <v>Customer Access Entitlement</v>
      </c>
      <c r="J26" s="1" t="str">
        <v/>
      </c>
      <c r="K26" s="1" t="str">
        <v>REST</v>
      </c>
      <c r="L26" s="1" t="str">
        <v>APIM</v>
      </c>
      <c r="M26" s="1" t="str">
        <v/>
      </c>
      <c r="N26" s="1" t="str">
        <v>v1.0.0</v>
      </c>
      <c r="O26" s="1" t="str">
        <v>2026-03-06</v>
      </c>
      <c r="P26" s="1" t="str">
        <v>En Desarrollo</v>
      </c>
      <c r="Q26" s="1" t="str">
        <v/>
      </c>
      <c r="R26" s="1" t="str">
        <v/>
      </c>
      <c r="S26" s="1" t="str">
        <v/>
      </c>
      <c r="T26" s="1" t="str">
        <v/>
      </c>
      <c r="U26" s="1" t="str">
        <v/>
      </c>
      <c r="V26" s="1" t="str">
        <v/>
      </c>
      <c r="W26" s="1" t="str">
        <v/>
      </c>
    </row>
    <row r="27">
      <c r="A27" s="1" t="str">
        <v>D0026</v>
      </c>
      <c r="B27" s="1" t="str">
        <v>Perú</v>
      </c>
      <c r="C27" s="1" t="str">
        <v/>
      </c>
      <c r="D27" s="1" t="str">
        <v/>
      </c>
      <c r="E27" s="1" t="str">
        <v/>
      </c>
      <c r="F27" s="1" t="str">
        <v>SD</v>
      </c>
      <c r="G27" s="1" t="str">
        <v>Operational Services</v>
      </c>
      <c r="H27" s="1" t="str">
        <v>Operational Services</v>
      </c>
      <c r="I27" s="1" t="str">
        <v>Issued Device Administration</v>
      </c>
      <c r="J27" s="1" t="str">
        <v/>
      </c>
      <c r="K27" s="1" t="str">
        <v>REST</v>
      </c>
      <c r="L27" s="1" t="str">
        <v>APIM</v>
      </c>
      <c r="M27" s="1" t="str">
        <v/>
      </c>
      <c r="N27" s="1" t="str">
        <v>v1.0.0</v>
      </c>
      <c r="O27" s="1" t="str">
        <v>2026-03-06</v>
      </c>
      <c r="P27" s="1" t="str">
        <v>En Desarrollo</v>
      </c>
      <c r="Q27" s="1" t="str">
        <v/>
      </c>
      <c r="R27" s="1" t="str">
        <v/>
      </c>
      <c r="S27" s="1" t="str">
        <v/>
      </c>
      <c r="T27" s="1" t="str">
        <v/>
      </c>
      <c r="U27" s="1" t="str">
        <v/>
      </c>
      <c r="V27" s="1" t="str">
        <v/>
      </c>
      <c r="W27" s="1" t="str">
        <v/>
      </c>
    </row>
    <row r="28">
      <c r="A28" s="1" t="str">
        <v>D0027</v>
      </c>
      <c r="B28" s="1" t="str">
        <v>Perú</v>
      </c>
      <c r="C28" s="1" t="str">
        <v/>
      </c>
      <c r="D28" s="1" t="str">
        <v/>
      </c>
      <c r="E28" s="1" t="str">
        <v/>
      </c>
      <c r="F28" s="1" t="str">
        <v>SD</v>
      </c>
      <c r="G28" s="1" t="str">
        <v>Document Management and Archive</v>
      </c>
      <c r="H28" s="1" t="str">
        <v>Document Management and Archive</v>
      </c>
      <c r="I28" s="1" t="str">
        <v>Correspondence</v>
      </c>
      <c r="J28" s="1" t="str">
        <v/>
      </c>
      <c r="K28" s="1" t="str">
        <v>REST</v>
      </c>
      <c r="L28" s="1" t="str">
        <v>APIM</v>
      </c>
      <c r="M28" s="1" t="str">
        <v/>
      </c>
      <c r="N28" s="1" t="str">
        <v>v1.0.0</v>
      </c>
      <c r="O28" s="1" t="str">
        <v>2026-03-06</v>
      </c>
      <c r="P28" s="1" t="str">
        <v>En Desarrollo</v>
      </c>
      <c r="Q28" s="1" t="str">
        <v/>
      </c>
      <c r="R28" s="1" t="str">
        <v/>
      </c>
      <c r="S28" s="1" t="str">
        <v/>
      </c>
      <c r="T28" s="1" t="str">
        <v/>
      </c>
      <c r="U28" s="1" t="str">
        <v/>
      </c>
      <c r="V28" s="1" t="str">
        <v/>
      </c>
      <c r="W28" s="1" t="str">
        <v/>
      </c>
    </row>
    <row r="29">
      <c r="A29" s="1" t="str">
        <v>D0028</v>
      </c>
      <c r="B29" s="1" t="str">
        <v>Perú</v>
      </c>
      <c r="C29" s="1" t="str">
        <v/>
      </c>
      <c r="D29" s="1" t="str">
        <v/>
      </c>
      <c r="E29" s="1" t="str">
        <v/>
      </c>
      <c r="F29" s="1" t="str">
        <v>SD</v>
      </c>
      <c r="G29" s="1" t="str">
        <v>Payments</v>
      </c>
      <c r="H29" s="1" t="str">
        <v>Servicing</v>
      </c>
      <c r="I29" s="1" t="str">
        <v>Payment Initiation</v>
      </c>
      <c r="J29" s="1" t="str">
        <v/>
      </c>
      <c r="K29" s="1" t="str">
        <v>REST</v>
      </c>
      <c r="L29" s="1" t="str">
        <v>APIM</v>
      </c>
      <c r="M29" s="1" t="str">
        <v/>
      </c>
      <c r="N29" s="1" t="str">
        <v>v1.0.0</v>
      </c>
      <c r="O29" s="1" t="str">
        <v>2026-03-06</v>
      </c>
      <c r="P29" s="1" t="str">
        <v>Activa</v>
      </c>
      <c r="Q29" s="1" t="str">
        <v/>
      </c>
      <c r="R29" s="1" t="str">
        <v/>
      </c>
      <c r="S29" s="1" t="str">
        <v/>
      </c>
      <c r="T29" s="1" t="str">
        <v/>
      </c>
      <c r="U29" s="1" t="str">
        <v/>
      </c>
      <c r="V29" s="1" t="str">
        <v/>
      </c>
      <c r="W29" s="1" t="str">
        <v/>
      </c>
    </row>
    <row r="30">
      <c r="A30" s="1" t="str">
        <v>D0029</v>
      </c>
      <c r="B30" s="1" t="str">
        <v>Perú</v>
      </c>
      <c r="C30" s="1" t="str">
        <v/>
      </c>
      <c r="D30" s="1" t="str">
        <v/>
      </c>
      <c r="E30" s="1" t="str">
        <v/>
      </c>
      <c r="F30" s="1" t="str">
        <v>SD</v>
      </c>
      <c r="G30" s="1" t="str">
        <v>Payments</v>
      </c>
      <c r="H30" s="1" t="str">
        <v>Payments</v>
      </c>
      <c r="I30" s="1" t="str">
        <v>Payment Execution</v>
      </c>
      <c r="J30" s="1" t="str">
        <v/>
      </c>
      <c r="K30" s="1" t="str">
        <v>REST</v>
      </c>
      <c r="L30" s="1" t="str">
        <v>APIM</v>
      </c>
      <c r="M30" s="1" t="str">
        <v/>
      </c>
      <c r="N30" s="1" t="str">
        <v>v1.0.0</v>
      </c>
      <c r="O30" s="1" t="str">
        <v>2026-03-06</v>
      </c>
      <c r="P30" s="1" t="str">
        <v>Activa</v>
      </c>
      <c r="Q30" s="1" t="str">
        <v/>
      </c>
      <c r="R30" s="1" t="str">
        <v/>
      </c>
      <c r="S30" s="1" t="str">
        <v/>
      </c>
      <c r="T30" s="1" t="str">
        <v/>
      </c>
      <c r="U30" s="1" t="str">
        <v/>
      </c>
      <c r="V30" s="1" t="str">
        <v/>
      </c>
      <c r="W30" s="1" t="str">
        <v/>
      </c>
    </row>
    <row r="31">
      <c r="A31" s="1" t="str">
        <v>D0030</v>
      </c>
      <c r="B31" s="1" t="str">
        <v>Perú</v>
      </c>
      <c r="C31" s="1" t="str">
        <v/>
      </c>
      <c r="D31" s="1" t="str">
        <v/>
      </c>
      <c r="E31" s="1" t="str">
        <v/>
      </c>
      <c r="F31" s="1" t="str">
        <v>SD</v>
      </c>
      <c r="G31" s="1" t="str">
        <v>Payments</v>
      </c>
      <c r="H31" s="1" t="str">
        <v>Payments</v>
      </c>
      <c r="I31" s="1" t="str">
        <v>Payment Rail Operations</v>
      </c>
      <c r="J31" s="1" t="str">
        <v/>
      </c>
      <c r="K31" s="1" t="str">
        <v>REST</v>
      </c>
      <c r="L31" s="1" t="str">
        <v>APIM</v>
      </c>
      <c r="M31" s="1" t="str">
        <v/>
      </c>
      <c r="N31" s="1" t="str">
        <v>v1.0.0</v>
      </c>
      <c r="O31" s="1" t="str">
        <v>2026-03-06</v>
      </c>
      <c r="P31" s="1" t="str">
        <v>En Desarrollo</v>
      </c>
      <c r="Q31" s="1" t="str">
        <v/>
      </c>
      <c r="R31" s="1" t="str">
        <v/>
      </c>
      <c r="S31" s="1" t="str">
        <v/>
      </c>
      <c r="T31" s="1" t="str">
        <v/>
      </c>
      <c r="U31" s="1" t="str">
        <v/>
      </c>
      <c r="V31" s="1" t="str">
        <v/>
      </c>
      <c r="W31" s="1" t="str">
        <v/>
      </c>
    </row>
    <row r="32">
      <c r="A32" s="1" t="str">
        <v>D0031</v>
      </c>
      <c r="B32" s="1" t="str">
        <v>Perú</v>
      </c>
      <c r="C32" s="1" t="str">
        <v/>
      </c>
      <c r="D32" s="1" t="str">
        <v/>
      </c>
      <c r="E32" s="1" t="str">
        <v/>
      </c>
      <c r="F32" s="1" t="str">
        <v>SD</v>
      </c>
      <c r="G32" s="1" t="str">
        <v>Payments</v>
      </c>
      <c r="H32" s="1" t="str">
        <v>Account Management</v>
      </c>
      <c r="I32" s="1" t="str">
        <v>Position Keeping</v>
      </c>
      <c r="J32" s="1" t="str">
        <v/>
      </c>
      <c r="K32" s="1" t="str">
        <v>REST</v>
      </c>
      <c r="L32" s="1" t="str">
        <v>APIM</v>
      </c>
      <c r="M32" s="1" t="str">
        <v/>
      </c>
      <c r="N32" s="1" t="str">
        <v>v1.0.0</v>
      </c>
      <c r="O32" s="1" t="str">
        <v>2026-03-06</v>
      </c>
      <c r="P32" s="1" t="str">
        <v>En Desarrollo</v>
      </c>
      <c r="Q32" s="1" t="str">
        <v/>
      </c>
      <c r="R32" s="1" t="str">
        <v/>
      </c>
      <c r="S32" s="1" t="str">
        <v/>
      </c>
      <c r="T32" s="1" t="str">
        <v/>
      </c>
      <c r="U32" s="1" t="str">
        <v/>
      </c>
      <c r="V32" s="1" t="str">
        <v/>
      </c>
      <c r="W32" s="1" t="str">
        <v/>
      </c>
    </row>
    <row r="33">
      <c r="A33" s="1" t="str">
        <v>D0032</v>
      </c>
      <c r="B33" s="1" t="str">
        <v>Perú</v>
      </c>
      <c r="C33" s="1" t="str">
        <v/>
      </c>
      <c r="D33" s="1" t="str">
        <v/>
      </c>
      <c r="E33" s="1" t="str">
        <v/>
      </c>
      <c r="F33" s="1" t="str">
        <v>SD</v>
      </c>
      <c r="G33" s="1" t="str">
        <v>Risk</v>
      </c>
      <c r="H33" s="1" t="str">
        <v>Account Management</v>
      </c>
      <c r="I33" s="1" t="str">
        <v>Fraud Evaluation</v>
      </c>
      <c r="J33" s="1" t="str">
        <v/>
      </c>
      <c r="K33" s="1" t="str">
        <v>REST</v>
      </c>
      <c r="L33" s="1" t="str">
        <v>APIM</v>
      </c>
      <c r="M33" s="1" t="str">
        <v/>
      </c>
      <c r="N33" s="1" t="str">
        <v>v1.0.0</v>
      </c>
      <c r="O33" s="1" t="str">
        <v>2026-03-06</v>
      </c>
      <c r="P33" s="1" t="str">
        <v>En Desarrollo</v>
      </c>
      <c r="Q33" s="1" t="str">
        <v/>
      </c>
      <c r="R33" s="1" t="str">
        <v/>
      </c>
      <c r="S33" s="1" t="str">
        <v/>
      </c>
      <c r="T33" s="1" t="str">
        <v/>
      </c>
      <c r="U33" s="1" t="str">
        <v/>
      </c>
      <c r="V33" s="1" t="str">
        <v/>
      </c>
      <c r="W33" s="1" t="str">
        <v/>
      </c>
    </row>
    <row r="34">
      <c r="A34" s="1" t="str">
        <v>D0033</v>
      </c>
      <c r="B34" s="1" t="str">
        <v>Perú</v>
      </c>
      <c r="C34" s="1" t="str">
        <v/>
      </c>
      <c r="D34" s="1" t="str">
        <v>Administra productos de terceros comercializados por el banco, como seguros ofrecidos por una aseguradora externa. Coordina la relación operativa y la prestación del servicio durante todo su ciclo de vida.</v>
      </c>
      <c r="E34" s="1" t="str">
        <v/>
      </c>
      <c r="F34" s="1" t="str">
        <v>SD</v>
      </c>
      <c r="G34" s="1" t="str">
        <v>Payments</v>
      </c>
      <c r="H34" s="1" t="str">
        <v>Cross Channel</v>
      </c>
      <c r="I34" s="1" t="str">
        <v>Transaction Authorization</v>
      </c>
      <c r="J34" s="1" t="str">
        <v>Media</v>
      </c>
      <c r="K34" s="1" t="str">
        <v>REST</v>
      </c>
      <c r="L34" s="1" t="str">
        <v>APIM</v>
      </c>
      <c r="M34" s="1" t="str">
        <v/>
      </c>
      <c r="N34" s="1" t="str">
        <v>v1.0.0</v>
      </c>
      <c r="O34" s="1" t="str">
        <v>2026-03-06</v>
      </c>
      <c r="P34" s="1" t="str">
        <v>En Desarrollo</v>
      </c>
      <c r="Q34" s="1" t="str">
        <v/>
      </c>
      <c r="R34" s="1" t="str">
        <v>Aprobado - modificacion sobre API existente</v>
      </c>
      <c r="S34" s="1" t="str">
        <v/>
      </c>
      <c r="T34" s="1" t="str">
        <v>No</v>
      </c>
      <c r="U34" s="1" t="str">
        <v>Satelite de Seguros - Exposicion apis de negocio, integración con Hub de Monokera (SaaS) que consume los apis de aseguradora(Pacifico)</v>
      </c>
      <c r="V34" s="1" t="str">
        <v/>
      </c>
      <c r="W34" s="1" t="str">
        <v/>
      </c>
    </row>
    <row r="35">
      <c r="A35" s="1" t="str">
        <v>D0034</v>
      </c>
      <c r="B35" s="1" t="str">
        <v>Perú</v>
      </c>
      <c r="C35" s="1" t="str">
        <v/>
      </c>
      <c r="D35" s="1" t="str">
        <v>Gestiona los contratos y acuerdos formales entre el cliente y la entidad. Mantiene las condiciones, vigencia, derechos y obligaciones asociadas al producto contratado.</v>
      </c>
      <c r="E35" s="1" t="str">
        <v/>
      </c>
      <c r="F35" s="1" t="str">
        <v>SD</v>
      </c>
      <c r="G35" s="1" t="str">
        <v>Operations and Execution</v>
      </c>
      <c r="H35" s="1" t="str">
        <v>Account Management</v>
      </c>
      <c r="I35" s="1" t="str">
        <v>Fraud Diagnosis</v>
      </c>
      <c r="J35" s="1" t="str">
        <v>Media</v>
      </c>
      <c r="K35" s="1" t="str">
        <v>REST</v>
      </c>
      <c r="L35" s="1" t="str">
        <v>APIM</v>
      </c>
      <c r="M35" s="1" t="str">
        <v/>
      </c>
      <c r="N35" s="1" t="str">
        <v>v1.0.0</v>
      </c>
      <c r="O35" s="1" t="str">
        <v>2026-02-23</v>
      </c>
      <c r="P35" s="1" t="str">
        <v>En Desarrollo</v>
      </c>
      <c r="Q35" s="1" t="str">
        <v/>
      </c>
      <c r="R35" s="1" t="str">
        <v>Aprobado - reutilizacion</v>
      </c>
      <c r="S35" s="1" t="str">
        <v/>
      </c>
      <c r="T35" s="1" t="str">
        <v>No</v>
      </c>
      <c r="U35" s="1" t="str">
        <v>Satelite de Seguros - Exposicion apis de negocio, integración con Hub de Monokera (SaaS) que consume los apis de aseguradora(Pacifico)</v>
      </c>
      <c r="V35" s="1" t="str">
        <v/>
      </c>
      <c r="W35" s="1" t="str">
        <v/>
      </c>
    </row>
    <row r="36">
      <c r="A36" s="1" t="str">
        <v>D0035</v>
      </c>
      <c r="B36" s="1" t="str">
        <v>Perú</v>
      </c>
      <c r="C36" s="1" t="str">
        <v/>
      </c>
      <c r="D36" s="1" t="str">
        <v>Administra la oferta comercial presentada al cliente, incluyendo cotizaciones y propuestas de productos. Permite registrar y dar seguimiento a la aceptación o rechazo de la oferta.</v>
      </c>
      <c r="E36" s="1" t="str">
        <v/>
      </c>
      <c r="F36" s="1" t="str">
        <v>SD</v>
      </c>
      <c r="G36" s="1" t="str">
        <v>Operations and Execution</v>
      </c>
      <c r="H36" s="1" t="str">
        <v>Operational Services</v>
      </c>
      <c r="I36" s="1" t="str">
        <v>Channel Activity History</v>
      </c>
      <c r="J36" s="1" t="str">
        <v>Media</v>
      </c>
      <c r="K36" s="1" t="str">
        <v>REST</v>
      </c>
      <c r="L36" s="1" t="str">
        <v>APIM</v>
      </c>
      <c r="M36" s="1" t="str">
        <v/>
      </c>
      <c r="N36" s="1" t="str">
        <v>v1.0.0</v>
      </c>
      <c r="O36" s="1" t="str">
        <v>2026-02-23</v>
      </c>
      <c r="P36" s="1" t="str">
        <v>En Desarrollo</v>
      </c>
      <c r="Q36" s="1" t="str">
        <v/>
      </c>
      <c r="R36" s="1" t="str">
        <v>Aprobado - modificacion sobre API existente</v>
      </c>
      <c r="S36" s="1" t="str">
        <v/>
      </c>
      <c r="T36" s="1" t="str">
        <v>No</v>
      </c>
      <c r="U36" s="1" t="str">
        <v>Satelite de Seguros - Exposicion apis de negocio, integración con Hub de Monokera (SaaS) que consume los apis de aseguradora(Pacifico)</v>
      </c>
      <c r="V36" s="1" t="str">
        <v/>
      </c>
      <c r="W36" s="1" t="str">
        <v/>
      </c>
    </row>
    <row r="37">
      <c r="A37" s="1" t="str">
        <v>D0036</v>
      </c>
      <c r="B37" s="1" t="str">
        <v>Perú</v>
      </c>
      <c r="C37" s="1" t="str">
        <v/>
      </c>
      <c r="D37" s="1" t="str">
        <v>Evalúa si un cliente cumple los criterios para acceder a un producto o servicio. Aplica reglas de elegibilidad, segmentación y restricciones regulatorias o de negocio.</v>
      </c>
      <c r="E37" s="1" t="str">
        <v/>
      </c>
      <c r="F37" s="1" t="str">
        <v>SD</v>
      </c>
      <c r="G37" s="1" t="str">
        <v>Sales and Service</v>
      </c>
      <c r="H37" s="1" t="str">
        <v>Cross Channel</v>
      </c>
      <c r="I37" s="1" t="str">
        <v>Contact Handler</v>
      </c>
      <c r="J37" s="1" t="str">
        <v>Media</v>
      </c>
      <c r="K37" s="1" t="str">
        <v>REST</v>
      </c>
      <c r="L37" s="1" t="str">
        <v>APIM</v>
      </c>
      <c r="M37" s="1" t="str">
        <v/>
      </c>
      <c r="N37" s="1" t="str">
        <v>v1.0.0</v>
      </c>
      <c r="O37" s="1" t="str">
        <v>2026-02-23</v>
      </c>
      <c r="P37" s="1" t="str">
        <v>En Desarrollo</v>
      </c>
      <c r="Q37" s="1" t="str">
        <v/>
      </c>
      <c r="R37" s="1" t="str">
        <v>Aprobado - modificacion sobre API existente</v>
      </c>
      <c r="S37" s="1" t="str">
        <v/>
      </c>
      <c r="T37" s="1" t="str">
        <v>No</v>
      </c>
      <c r="U37" s="1" t="str">
        <v>Satelite de Seguros - Exposicion apis de negocio, integración con Hub de Monokera (SaaS) que consume los apis de aseguradora(Pacifico)</v>
      </c>
      <c r="V37" s="1" t="str">
        <v/>
      </c>
      <c r="W37" s="1" t="str">
        <v/>
      </c>
    </row>
    <row r="38">
      <c r="A38" s="1" t="str">
        <v>D0037</v>
      </c>
      <c r="B38" s="1" t="str">
        <v>Perú</v>
      </c>
      <c r="C38" s="1" t="str">
        <v/>
      </c>
      <c r="D38" s="1" t="str">
        <v>Gestiona descuentos, promociones y precios preferenciales aplicables a productos y servicios. Determina condiciones especiales en función del cliente, producto o campaña.</v>
      </c>
      <c r="E38" s="1" t="str">
        <v/>
      </c>
      <c r="F38" s="1" t="str">
        <v>SD</v>
      </c>
      <c r="G38" s="1" t="str">
        <v>Sales and Service</v>
      </c>
      <c r="H38" s="1" t="str">
        <v>Cross Channel</v>
      </c>
      <c r="I38" s="1" t="str">
        <v>Contact Routing</v>
      </c>
      <c r="J38" s="1" t="str">
        <v>Media</v>
      </c>
      <c r="K38" s="1" t="str">
        <v>REST</v>
      </c>
      <c r="L38" s="1" t="str">
        <v>APIM</v>
      </c>
      <c r="M38" s="1" t="str">
        <v/>
      </c>
      <c r="N38" s="1" t="str">
        <v>v1.0.0</v>
      </c>
      <c r="O38" s="1" t="str">
        <v>2026-02-23</v>
      </c>
      <c r="P38" s="1" t="str">
        <v>En Desarrollo</v>
      </c>
      <c r="Q38" s="1" t="str">
        <v/>
      </c>
      <c r="R38" s="1" t="str">
        <v>Aprobado - modificacion sobre API existente</v>
      </c>
      <c r="S38" s="1" t="str">
        <v/>
      </c>
      <c r="T38" s="1" t="str">
        <v>No</v>
      </c>
      <c r="U38" s="1" t="str">
        <v>Satelite de Seguros - Exposicion apis de negocio, integración con Hub de Monokera (SaaS) que consume los apis de aseguradora(Pacifico)</v>
      </c>
      <c r="V38" s="1" t="str">
        <v/>
      </c>
      <c r="W38" s="1" t="str">
        <v/>
      </c>
    </row>
    <row r="39">
      <c r="A39" s="1" t="str">
        <v>D0038</v>
      </c>
      <c r="B39" s="1" t="str">
        <v>Perú</v>
      </c>
      <c r="C39" s="1" t="str">
        <v/>
      </c>
      <c r="D39" s="1" t="str">
        <v>Administra la generación, almacenamiento, distribución y consulta de documentos asociados a una operación. Soporta pólizas, contratos, certificados y demás documentación del proceso.</v>
      </c>
      <c r="E39" s="1" t="str">
        <v/>
      </c>
      <c r="F39" s="1" t="str">
        <v>PROC</v>
      </c>
      <c r="G39" s="1" t="str">
        <v>No encontrado</v>
      </c>
      <c r="H39" s="1" t="str">
        <v>No encontrado</v>
      </c>
      <c r="I39" s="1" t="str">
        <v>Credit Line Disburse</v>
      </c>
      <c r="J39" s="1" t="str">
        <v>Media</v>
      </c>
      <c r="K39" s="1" t="str">
        <v>REST</v>
      </c>
      <c r="L39" s="1" t="str">
        <v>APIM</v>
      </c>
      <c r="M39" s="1" t="str">
        <v/>
      </c>
      <c r="N39" s="1" t="str">
        <v>v1.0.0</v>
      </c>
      <c r="O39" s="1" t="str">
        <v>2026-02-23</v>
      </c>
      <c r="P39" s="1" t="str">
        <v/>
      </c>
      <c r="Q39" s="1" t="str">
        <v/>
      </c>
      <c r="R39" s="1" t="str">
        <v>Aprobado - modificacion sobre API existente</v>
      </c>
      <c r="S39" s="1" t="str">
        <v/>
      </c>
      <c r="T39" s="1" t="str">
        <v>No</v>
      </c>
      <c r="U39" s="1" t="str">
        <v>Satelite de Seguros - Exposicion apis de negocio, integración con Hub de Monokera (SaaS) que consume los apis de aseguradora(Pacifico)</v>
      </c>
      <c r="V39" s="1" t="str">
        <v/>
      </c>
      <c r="W39" s="1" t="str">
        <v/>
      </c>
    </row>
    <row r="40">
      <c r="A40" s="1" t="str">
        <v>D0039</v>
      </c>
      <c r="B40" s="1" t="str">
        <v>Perú</v>
      </c>
      <c r="C40" s="1" t="str">
        <v/>
      </c>
      <c r="D40" s="1" t="str">
        <v>Gestiona las instrucciones de pago necesarias para ejecutar cobros y desembolsos. Permite ordenar y controlar pagos relacionados con primas, cuotas o servicios asociados.</v>
      </c>
      <c r="E40" s="1" t="str">
        <v/>
      </c>
      <c r="F40" s="1" t="str">
        <v>SD</v>
      </c>
      <c r="G40" s="1" t="str">
        <v>Sales and Service</v>
      </c>
      <c r="H40" s="1" t="str">
        <v>Sales</v>
      </c>
      <c r="I40" s="1" t="str">
        <v>Lead and Opportunity Management</v>
      </c>
      <c r="J40" s="1" t="str">
        <v>Media</v>
      </c>
      <c r="K40" s="1" t="str">
        <v>REST</v>
      </c>
      <c r="L40" s="1" t="str">
        <v>APIM</v>
      </c>
      <c r="M40" s="1" t="str">
        <v/>
      </c>
      <c r="N40" s="1" t="str">
        <v>v1.0.0</v>
      </c>
      <c r="O40" s="1" t="str">
        <v>2026-02-23</v>
      </c>
      <c r="P40" s="1" t="str">
        <v>Activa</v>
      </c>
      <c r="Q40" s="1" t="str">
        <v/>
      </c>
      <c r="R40" s="1" t="str">
        <v>Aprobado - modificacion sobre API existente</v>
      </c>
      <c r="S40" s="1" t="str">
        <v/>
      </c>
      <c r="T40" s="1" t="str">
        <v>No</v>
      </c>
      <c r="U40" s="1" t="str">
        <v>Satelite de Seguros - Exposicion apis de negocio, integración con Hub de Monokera (SaaS) que consume los apis de aseguradora(Pacifico)</v>
      </c>
      <c r="V40" s="1" t="str">
        <v/>
      </c>
      <c r="W40" s="1" t="str">
        <v/>
      </c>
    </row>
    <row r="41">
      <c r="A41" s="1" t="str">
        <v>D0040</v>
      </c>
      <c r="B41" s="1" t="str">
        <v>Perú</v>
      </c>
      <c r="C41" s="1" t="str">
        <v/>
      </c>
      <c r="D41" s="1" t="str">
        <v>Gestiona solicitudes operativas posteriores a la contratación del producto. Soporta cambios, actualizaciones, renovaciones y otras acciones de mantenimiento sobre el servicio contratado.</v>
      </c>
      <c r="E41" s="1" t="str">
        <v/>
      </c>
      <c r="F41" s="1" t="str">
        <v>SD</v>
      </c>
      <c r="G41" s="1" t="str">
        <v>Operations and Execution</v>
      </c>
      <c r="H41" s="1" t="str">
        <v>Wholesale Trading</v>
      </c>
      <c r="I41" s="1" t="str">
        <v>Credit Risk Operations</v>
      </c>
      <c r="J41" s="1" t="str">
        <v>Media</v>
      </c>
      <c r="K41" s="1" t="str">
        <v>REST</v>
      </c>
      <c r="L41" s="1" t="str">
        <v>APIM</v>
      </c>
      <c r="M41" s="1" t="str">
        <v/>
      </c>
      <c r="N41" s="1" t="str">
        <v>v1.0.0</v>
      </c>
      <c r="O41" s="1" t="str">
        <v>2026-02-23</v>
      </c>
      <c r="P41" s="1" t="str">
        <v/>
      </c>
      <c r="Q41" s="1" t="str">
        <v/>
      </c>
      <c r="R41" s="1" t="str">
        <v>Revisar - ya existe en catalogo BIAN, evaluar reutilizacion</v>
      </c>
      <c r="S41" s="1" t="str">
        <v/>
      </c>
      <c r="T41" s="1" t="str">
        <v>No</v>
      </c>
      <c r="U41" s="1" t="str">
        <v>Satelite de Seguros - Exposicion apis de negocio, integración con Hub de Monokera (SaaS) que consume los apis de aseguradora(Pacifico)</v>
      </c>
      <c r="V41" s="1" t="str">
        <v/>
      </c>
      <c r="W41" s="1" t="str">
        <v/>
      </c>
    </row>
    <row r="42">
      <c r="A42" s="1" t="str">
        <v>D0041</v>
      </c>
      <c r="B42" s="1" t="str">
        <v>Perú</v>
      </c>
      <c r="C42" s="1" t="str">
        <v/>
      </c>
      <c r="D42" s="1" t="str">
        <v/>
      </c>
      <c r="E42" s="1" t="str">
        <v/>
      </c>
      <c r="F42" s="1" t="str">
        <v>SD</v>
      </c>
      <c r="G42" s="1" t="str">
        <v>Operations and Execution</v>
      </c>
      <c r="H42" s="1" t="str">
        <v>Account Management</v>
      </c>
      <c r="I42" s="1" t="str">
        <v>Customer Position</v>
      </c>
      <c r="J42" s="1" t="str">
        <v/>
      </c>
      <c r="K42" s="1" t="str">
        <v>REST</v>
      </c>
      <c r="L42" s="1" t="str">
        <v>APIM</v>
      </c>
      <c r="M42" s="1" t="str">
        <v/>
      </c>
      <c r="N42" s="1" t="str">
        <v>v1.0.0</v>
      </c>
      <c r="O42" s="1" t="str">
        <v>2026-02-23</v>
      </c>
      <c r="P42" s="1" t="str">
        <v/>
      </c>
      <c r="Q42" s="1" t="str">
        <v/>
      </c>
      <c r="R42" s="1" t="str">
        <v/>
      </c>
      <c r="S42" s="1" t="str">
        <v/>
      </c>
      <c r="T42" s="1" t="str">
        <v/>
      </c>
      <c r="U42" s="1" t="str">
        <v/>
      </c>
      <c r="V42" s="1" t="str">
        <v/>
      </c>
      <c r="W42" s="1" t="str">
        <v/>
      </c>
    </row>
    <row r="43">
      <c r="A43" s="1" t="str">
        <v>D0042</v>
      </c>
      <c r="B43" s="1" t="str">
        <v>Perú</v>
      </c>
      <c r="C43" s="1" t="str">
        <v/>
      </c>
      <c r="D43" s="1" t="str">
        <v/>
      </c>
      <c r="E43" s="1" t="str">
        <v/>
      </c>
      <c r="F43" s="1" t="str">
        <v>SD</v>
      </c>
      <c r="G43" s="1" t="str">
        <v>Sales and Service</v>
      </c>
      <c r="H43" s="1" t="str">
        <v>Customer Management</v>
      </c>
      <c r="I43" s="1" t="str">
        <v>Customer Relationship Management</v>
      </c>
      <c r="J43" s="1" t="str">
        <v/>
      </c>
      <c r="K43" s="1" t="str">
        <v>REST</v>
      </c>
      <c r="L43" s="1" t="str">
        <v>APIM</v>
      </c>
      <c r="M43" s="1" t="str">
        <v/>
      </c>
      <c r="N43" s="1" t="str">
        <v>v1.0.0</v>
      </c>
      <c r="O43" s="1" t="str">
        <v>2026-02-23</v>
      </c>
      <c r="P43" s="1" t="str">
        <v/>
      </c>
      <c r="Q43" s="1" t="str">
        <v/>
      </c>
      <c r="R43" s="1" t="str">
        <v/>
      </c>
      <c r="S43" s="1" t="str">
        <v/>
      </c>
      <c r="T43" s="1" t="str">
        <v/>
      </c>
      <c r="U43" s="1" t="str">
        <v/>
      </c>
      <c r="V43" s="1" t="str">
        <v/>
      </c>
      <c r="W43" s="1" t="str">
        <v/>
      </c>
    </row>
    <row r="44">
      <c r="A44" s="1" t="str">
        <v>D0043</v>
      </c>
      <c r="B44" s="1" t="str">
        <v>Perú</v>
      </c>
      <c r="C44" s="1" t="str">
        <v/>
      </c>
      <c r="D44" s="1" t="str">
        <v/>
      </c>
      <c r="E44" s="1" t="str">
        <v/>
      </c>
      <c r="F44" s="1" t="str">
        <v>SD</v>
      </c>
      <c r="G44" s="1" t="str">
        <v>Sales and Service</v>
      </c>
      <c r="H44" s="1" t="str">
        <v>Customer Management</v>
      </c>
      <c r="I44" s="1" t="str">
        <v>Sales Product Agreement</v>
      </c>
      <c r="J44" s="1" t="str">
        <v/>
      </c>
      <c r="K44" s="1" t="str">
        <v>REST</v>
      </c>
      <c r="L44" s="1" t="str">
        <v>APIM</v>
      </c>
      <c r="M44" s="1" t="str">
        <v/>
      </c>
      <c r="N44" s="1" t="str">
        <v>v1.0.0</v>
      </c>
      <c r="O44" s="1" t="str">
        <v>2026-02-23</v>
      </c>
      <c r="P44" s="1" t="str">
        <v/>
      </c>
      <c r="Q44" s="1" t="str">
        <v/>
      </c>
      <c r="R44" s="1" t="str">
        <v/>
      </c>
      <c r="S44" s="1" t="str">
        <v/>
      </c>
      <c r="T44" s="1" t="str">
        <v/>
      </c>
      <c r="U44" s="1" t="str">
        <v/>
      </c>
      <c r="V44" s="1" t="str">
        <v/>
      </c>
      <c r="W44" s="1" t="str">
        <v/>
      </c>
    </row>
    <row r="45">
      <c r="A45" s="1" t="str">
        <v>D0044</v>
      </c>
      <c r="B45" s="1" t="str">
        <v>Perú</v>
      </c>
      <c r="C45" s="1" t="str">
        <v/>
      </c>
      <c r="D45" s="1" t="str">
        <v/>
      </c>
      <c r="E45" s="1" t="str">
        <v/>
      </c>
      <c r="F45" s="1" t="str">
        <v>SD</v>
      </c>
      <c r="G45" s="1" t="str">
        <v>Operations and Execution</v>
      </c>
      <c r="H45" s="1" t="str">
        <v>Payments</v>
      </c>
      <c r="I45" s="1" t="str">
        <v>ACH Operations</v>
      </c>
      <c r="J45" s="1" t="str">
        <v/>
      </c>
      <c r="K45" s="1" t="str">
        <v>REST</v>
      </c>
      <c r="L45" s="1" t="str">
        <v>APIM</v>
      </c>
      <c r="M45" s="1" t="str">
        <v/>
      </c>
      <c r="N45" s="1" t="str">
        <v>v1.0.0</v>
      </c>
      <c r="O45" s="1" t="str">
        <v>2026-02-23</v>
      </c>
      <c r="P45" s="1" t="str">
        <v>Activa</v>
      </c>
      <c r="Q45" s="1" t="str">
        <v/>
      </c>
      <c r="R45" s="1" t="str">
        <v/>
      </c>
      <c r="S45" s="1" t="str">
        <v/>
      </c>
      <c r="T45" s="1" t="str">
        <v/>
      </c>
      <c r="U45" s="1" t="str">
        <v/>
      </c>
      <c r="V45" s="1" t="str">
        <v/>
      </c>
      <c r="W45" s="1" t="str">
        <v/>
      </c>
    </row>
    <row r="46">
      <c r="A46" s="1" t="str">
        <v>D0045</v>
      </c>
      <c r="B46" s="1" t="str">
        <v>Perú</v>
      </c>
      <c r="C46" s="1" t="str">
        <v/>
      </c>
      <c r="D46" s="1" t="str">
        <v/>
      </c>
      <c r="E46" s="1" t="str">
        <v/>
      </c>
      <c r="F46" s="1" t="str">
        <v>PROC</v>
      </c>
      <c r="G46" s="1" t="str">
        <v/>
      </c>
      <c r="H46" s="1" t="str">
        <v/>
      </c>
      <c r="I46" s="1" t="str">
        <v>Bill Payments</v>
      </c>
      <c r="J46" s="1" t="str">
        <v/>
      </c>
      <c r="K46" s="1" t="str">
        <v>REST</v>
      </c>
      <c r="L46" s="1" t="str">
        <v>APIM</v>
      </c>
      <c r="M46" s="1" t="str">
        <v/>
      </c>
      <c r="N46" s="1" t="str">
        <v>v1.0.0</v>
      </c>
      <c r="O46" s="1" t="str">
        <v>2026-02-23</v>
      </c>
      <c r="P46" s="1" t="str">
        <v>Activa</v>
      </c>
      <c r="Q46" s="1" t="str">
        <v/>
      </c>
      <c r="R46" s="1" t="str">
        <v/>
      </c>
      <c r="S46" s="1" t="str">
        <v/>
      </c>
      <c r="T46" s="1" t="str">
        <v/>
      </c>
      <c r="U46" s="1" t="str">
        <v/>
      </c>
      <c r="V46" s="1" t="str">
        <v/>
      </c>
      <c r="W46" s="1" t="str">
        <v/>
      </c>
    </row>
    <row r="47">
      <c r="A47" s="1" t="str">
        <v>D0046</v>
      </c>
      <c r="B47" s="1" t="str">
        <v>Perú</v>
      </c>
      <c r="C47" s="1" t="str">
        <v/>
      </c>
      <c r="D47" s="1" t="str">
        <v/>
      </c>
      <c r="E47" s="1" t="str">
        <v/>
      </c>
      <c r="F47" s="1" t="str">
        <v>PROC</v>
      </c>
      <c r="G47" s="1" t="str">
        <v/>
      </c>
      <c r="H47" s="1" t="str">
        <v/>
      </c>
      <c r="I47" s="1" t="str">
        <v>Credit Line Disburse</v>
      </c>
      <c r="J47" s="1" t="str">
        <v>Media</v>
      </c>
      <c r="K47" s="1" t="str">
        <v>REST</v>
      </c>
      <c r="L47" s="1" t="str">
        <v>APIM</v>
      </c>
      <c r="M47" s="1" t="str">
        <v/>
      </c>
      <c r="N47" s="1" t="str">
        <v>v1.0.0</v>
      </c>
      <c r="O47" s="1" t="str">
        <v>2026-02-23</v>
      </c>
      <c r="P47" s="1" t="str">
        <v>Activa</v>
      </c>
      <c r="Q47" s="1" t="str">
        <v>CONCEPTOS DISRUPTIVOS - Ricardo Garmendia Mohanna</v>
      </c>
      <c r="R47" s="1" t="str">
        <v>Aprobado - modificacion sobre API existente</v>
      </c>
      <c r="S47" s="1" t="str">
        <v/>
      </c>
      <c r="T47" s="1" t="str">
        <v>No</v>
      </c>
      <c r="U47" s="1" t="str">
        <v>Desembolso</v>
      </c>
      <c r="V47" s="1" t="str">
        <v>Topaz</v>
      </c>
      <c r="W47" s="1" t="str">
        <v/>
      </c>
    </row>
    <row r="48">
      <c r="A48" s="1" t="str">
        <v>D0047</v>
      </c>
      <c r="B48" s="1" t="str">
        <v>Perú</v>
      </c>
      <c r="C48" s="1" t="str">
        <v/>
      </c>
      <c r="D48" s="1" t="str">
        <v>Generación y ejecución de desembolsos de crédito.</v>
      </c>
      <c r="E48" s="1" t="str">
        <v/>
      </c>
      <c r="F48" s="1" t="str">
        <v>SD</v>
      </c>
      <c r="G48" s="1" t="str">
        <v>Operations and Execution</v>
      </c>
      <c r="H48" s="1" t="str">
        <v>Operational Services</v>
      </c>
      <c r="I48" s="1" t="str">
        <v>Customer Billing</v>
      </c>
      <c r="J48" s="1" t="str">
        <v>Media</v>
      </c>
      <c r="K48" s="1" t="str">
        <v>REST</v>
      </c>
      <c r="L48" s="1" t="str">
        <v>APIM</v>
      </c>
      <c r="M48" s="1" t="str">
        <v/>
      </c>
      <c r="N48" s="1" t="str">
        <v>v1.0.0</v>
      </c>
      <c r="O48" s="1" t="str">
        <v>2026-02-23</v>
      </c>
      <c r="P48" s="1" t="str">
        <v>Activa</v>
      </c>
      <c r="Q48" s="1" t="str">
        <v>CONCEPTOS DISRUPTIVOS - Ricardo Garmendia Mohanna</v>
      </c>
      <c r="R48" s="1" t="str">
        <v>Aprobado - modificacion sobre API existente</v>
      </c>
      <c r="S48" s="1" t="str">
        <v/>
      </c>
      <c r="T48" s="1" t="str">
        <v>No</v>
      </c>
      <c r="U48" s="1" t="str">
        <v>Desembolso</v>
      </c>
      <c r="V48" s="1" t="str">
        <v>Topaz</v>
      </c>
      <c r="W48" s="1" t="str">
        <v/>
      </c>
    </row>
    <row r="49">
      <c r="A49" s="1" t="str">
        <v>D0048</v>
      </c>
      <c r="B49" s="1" t="str">
        <v>Perú</v>
      </c>
      <c r="C49" s="1" t="str">
        <v/>
      </c>
      <c r="D49" s="1" t="str">
        <v/>
      </c>
      <c r="E49" s="1" t="str">
        <v/>
      </c>
      <c r="F49" s="1" t="str">
        <v>PROC</v>
      </c>
      <c r="G49" s="1" t="str">
        <v/>
      </c>
      <c r="H49" s="1" t="str">
        <v/>
      </c>
      <c r="I49" s="1" t="str">
        <v>Immediate Transfers</v>
      </c>
      <c r="J49" s="1" t="str">
        <v>Media</v>
      </c>
      <c r="K49" s="1" t="str">
        <v>REST</v>
      </c>
      <c r="L49" s="1" t="str">
        <v>APIM</v>
      </c>
      <c r="M49" s="1" t="str">
        <v/>
      </c>
      <c r="N49" s="1" t="str">
        <v>v1.0.0</v>
      </c>
      <c r="O49" s="1" t="str">
        <v>2026-02-23</v>
      </c>
      <c r="P49" s="1" t="str">
        <v>Activa</v>
      </c>
      <c r="Q49" s="1" t="str">
        <v>CONCEPTOS DISRUPTIVOS - Ricardo Garmendia Mohanna</v>
      </c>
      <c r="R49" s="1" t="str">
        <v>Aprobado - modificacion sobre API existente</v>
      </c>
      <c r="S49" s="1" t="str">
        <v/>
      </c>
      <c r="T49" s="1" t="str">
        <v>No</v>
      </c>
      <c r="U49" s="1" t="str">
        <v>Desembolso</v>
      </c>
      <c r="V49" s="1" t="str">
        <v>Topaz</v>
      </c>
      <c r="W49" s="1" t="str">
        <v/>
      </c>
    </row>
    <row r="50">
      <c r="A50" s="1" t="str">
        <v>D0049</v>
      </c>
      <c r="B50" s="1" t="str">
        <v>Perú</v>
      </c>
      <c r="C50" s="1" t="str">
        <v/>
      </c>
      <c r="D50" s="1" t="str">
        <v>Consulta del catálogo de productos financieros.</v>
      </c>
      <c r="E50" s="1" t="str">
        <v/>
      </c>
      <c r="F50" s="1" t="str">
        <v>PROC</v>
      </c>
      <c r="G50" s="1" t="str">
        <v/>
      </c>
      <c r="H50" s="1" t="str">
        <v/>
      </c>
      <c r="I50" s="1" t="str">
        <v>Loan Repayment</v>
      </c>
      <c r="J50" s="1" t="str">
        <v>Media</v>
      </c>
      <c r="K50" s="1" t="str">
        <v>REST</v>
      </c>
      <c r="L50" s="1" t="str">
        <v>APIM</v>
      </c>
      <c r="M50" s="1" t="str">
        <v/>
      </c>
      <c r="N50" s="1" t="str">
        <v>v1.0.0</v>
      </c>
      <c r="O50" s="1" t="str">
        <v>2026-02-23</v>
      </c>
      <c r="P50" s="1" t="str">
        <v>Activa</v>
      </c>
      <c r="Q50" s="1" t="str">
        <v>CONCEPTOS DISRUPTIVOS - Ricardo Garmendia Mohanna</v>
      </c>
      <c r="R50" s="1" t="str">
        <v>Revisar - posible duplicado en backlog</v>
      </c>
      <c r="S50" s="1" t="str">
        <v/>
      </c>
      <c r="T50" s="1" t="str">
        <v>Sí</v>
      </c>
      <c r="U50" s="1" t="str">
        <v>Desembolso</v>
      </c>
      <c r="V50" s="1" t="str">
        <v>Topaz</v>
      </c>
      <c r="W50" s="1" t="str">
        <v/>
      </c>
    </row>
    <row r="51">
      <c r="A51" s="1" t="str">
        <v>D0050</v>
      </c>
      <c r="B51" s="1" t="str">
        <v>Perú</v>
      </c>
      <c r="C51" s="1" t="str">
        <v/>
      </c>
      <c r="D51" s="1" t="str">
        <v/>
      </c>
      <c r="E51" s="1" t="str">
        <v/>
      </c>
      <c r="F51" s="1" t="str">
        <v>PROC</v>
      </c>
      <c r="G51" s="1" t="str">
        <v/>
      </c>
      <c r="H51" s="1" t="str">
        <v/>
      </c>
      <c r="I51" s="1" t="str">
        <v>Repayment Simulations</v>
      </c>
      <c r="J51" s="1" t="str">
        <v>Media</v>
      </c>
      <c r="K51" s="1" t="str">
        <v>REST</v>
      </c>
      <c r="L51" s="1" t="str">
        <v>APIM</v>
      </c>
      <c r="M51" s="1" t="str">
        <v/>
      </c>
      <c r="N51" s="1" t="str">
        <v>v1.0.0</v>
      </c>
      <c r="O51" s="1" t="str">
        <v>2026-02-23</v>
      </c>
      <c r="P51" s="1" t="str">
        <v>Activa</v>
      </c>
      <c r="Q51" s="1" t="str">
        <v>CONCEPTOS DISRUPTIVOS - Ricardo Garmendia Mohanna</v>
      </c>
      <c r="R51" s="1" t="str">
        <v>Aprobado - modificacion sobre API existente</v>
      </c>
      <c r="S51" s="1" t="str">
        <v/>
      </c>
      <c r="T51" s="1" t="str">
        <v>No</v>
      </c>
      <c r="U51" s="1" t="str">
        <v>Desembolso</v>
      </c>
      <c r="V51" s="1" t="str">
        <v>Topaz</v>
      </c>
      <c r="W51" s="1" t="str">
        <v/>
      </c>
    </row>
    <row r="52">
      <c r="A52" s="1" t="str">
        <v>D0051</v>
      </c>
      <c r="B52" s="1" t="str">
        <v>Colombia</v>
      </c>
      <c r="C52" s="1" t="str">
        <v/>
      </c>
      <c r="D52" s="1" t="str">
        <v>+ Retrieve: Recupera el estado actual o último estado de conectividad de las APIs, segmentado por dominio y ambiente.</v>
      </c>
      <c r="E52" s="1" t="str">
        <v/>
      </c>
      <c r="F52" s="1" t="str">
        <v>SD</v>
      </c>
      <c r="G52" s="1" t="str">
        <v/>
      </c>
      <c r="H52" s="1" t="str">
        <v>Customer Management</v>
      </c>
      <c r="I52" s="1" t="str">
        <v>Customer Access Entitlement</v>
      </c>
      <c r="J52" s="1" t="str">
        <v>Baja</v>
      </c>
      <c r="K52" s="1" t="str">
        <v>REST</v>
      </c>
      <c r="L52" s="1" t="str">
        <v>APIM</v>
      </c>
      <c r="M52" s="1" t="str">
        <v/>
      </c>
      <c r="N52" s="1" t="str">
        <v>v1.0.0</v>
      </c>
      <c r="O52" s="1" t="str">
        <v>2026-02-24</v>
      </c>
      <c r="P52" s="1" t="str">
        <v/>
      </c>
      <c r="Q52" s="1" t="str">
        <v>Tribu Canales digitales - Mariluz Mendoza</v>
      </c>
      <c r="R52" s="1" t="str">
        <v>Revisar - ya existe en catalogo BIAN, evaluar reutilizacion</v>
      </c>
      <c r="S52" s="1" t="str">
        <v/>
      </c>
      <c r="T52" s="1" t="str">
        <v>No</v>
      </c>
      <c r="U52" s="1" t="str">
        <v>Pagos de Minoristas</v>
      </c>
      <c r="V52" s="1" t="str">
        <v/>
      </c>
      <c r="W52" s="1" t="str">
        <v/>
      </c>
    </row>
    <row r="53" xml:space="preserve">
      <c r="A53" s="1" t="str">
        <v>D0052</v>
      </c>
      <c r="B53" s="1" t="str">
        <v>Colombia</v>
      </c>
      <c r="C53" s="1" t="str">
        <v/>
      </c>
      <c r="D53" s="1" t="str" xml:space="preserve">
        <v xml:space="preserve">+ {phonenumberid}/Retrieve: Obtener el Código identificador del cliente (CIC) a partir de una referencia (p.ej. número de celular) en el sistema fuente, devolviendo un modelo canónico para capas superiores.
+ {customerid}/Retrieve: Obtener los datos de un cliente (p.ej. Nombre del cliente) a partir del Código Identificador del cliente (CIC).</v>
      </c>
      <c r="E53" s="1" t="str">
        <v/>
      </c>
      <c r="F53" s="1" t="str">
        <v>SD</v>
      </c>
      <c r="G53" s="1" t="str">
        <v/>
      </c>
      <c r="H53" s="1" t="str">
        <v>Sales</v>
      </c>
      <c r="I53" s="1" t="str">
        <v>Party Lifecycle Management</v>
      </c>
      <c r="J53" s="1" t="str">
        <v>Media</v>
      </c>
      <c r="K53" s="1" t="str">
        <v>REST</v>
      </c>
      <c r="L53" s="1" t="str">
        <v>APIM</v>
      </c>
      <c r="M53" s="1" t="str">
        <v/>
      </c>
      <c r="N53" s="1" t="str">
        <v>v1.0.0</v>
      </c>
      <c r="O53" s="1" t="str">
        <v>2026-02-24</v>
      </c>
      <c r="P53" s="1" t="str">
        <v/>
      </c>
      <c r="Q53" s="1" t="str">
        <v>Tribu Canales digitales - Mariluz Mendoza</v>
      </c>
      <c r="R53" s="1" t="str">
        <v>Aprobado - modificacion sobre API existente</v>
      </c>
      <c r="S53" s="1" t="str">
        <v/>
      </c>
      <c r="T53" s="1" t="str">
        <v>No</v>
      </c>
      <c r="U53" s="1" t="str">
        <v>Pagos de Minoristas</v>
      </c>
      <c r="V53" s="1" t="str">
        <v>Topaz</v>
      </c>
      <c r="W53" s="1" t="str">
        <v/>
      </c>
    </row>
    <row r="54">
      <c r="A54" s="1" t="str">
        <v>D0053</v>
      </c>
      <c r="B54" s="1" t="str">
        <v>Colombia</v>
      </c>
      <c r="C54" s="1" t="str">
        <v/>
      </c>
      <c r="D54" s="1" t="str">
        <v>+ Retrieve: Consultar en el sistema fuente las cuentas afiliadas del cliente (ahorros/corriente) y devolverlas en modelo canónico.</v>
      </c>
      <c r="E54" s="1" t="str">
        <v/>
      </c>
      <c r="F54" s="1" t="str">
        <v>SD</v>
      </c>
      <c r="G54" s="1" t="str">
        <v/>
      </c>
      <c r="H54" s="1" t="str">
        <v>Cross Channel</v>
      </c>
      <c r="I54" s="1" t="str">
        <v>Party Authentication</v>
      </c>
      <c r="J54" s="1" t="str">
        <v>Media</v>
      </c>
      <c r="K54" s="1" t="str">
        <v>REST</v>
      </c>
      <c r="L54" s="1" t="str">
        <v>APIM</v>
      </c>
      <c r="M54" s="1" t="str">
        <v/>
      </c>
      <c r="N54" s="1" t="str">
        <v>v1.0.0</v>
      </c>
      <c r="O54" s="1" t="str">
        <v>2026-02-24</v>
      </c>
      <c r="P54" s="1" t="str">
        <v/>
      </c>
      <c r="Q54" s="1" t="str">
        <v>Tribu Canales digitales - Mariluz Mendoza</v>
      </c>
      <c r="R54" s="1" t="str">
        <v>Aprobado - modificacion sobre API existente</v>
      </c>
      <c r="S54" s="1" t="str">
        <v/>
      </c>
      <c r="T54" s="1" t="str">
        <v>No</v>
      </c>
      <c r="U54" s="1" t="str">
        <v>Pagos de Minoristas</v>
      </c>
      <c r="V54" s="1" t="str">
        <v>Topaz</v>
      </c>
      <c r="W54" s="1" t="str">
        <v/>
      </c>
    </row>
    <row r="55">
      <c r="A55" s="1" t="str">
        <v>D0054</v>
      </c>
      <c r="B55" s="1" t="str">
        <v>Colombia</v>
      </c>
      <c r="C55" s="1" t="str">
        <v/>
      </c>
      <c r="D55" s="1" t="str">
        <v>Administra los saldos y débitos sobre las cuentas corrientes de clientes.</v>
      </c>
      <c r="E55" s="1" t="str">
        <v/>
      </c>
      <c r="F55" s="1" t="str">
        <v>SD</v>
      </c>
      <c r="G55" s="1" t="str">
        <v/>
      </c>
      <c r="H55" s="1" t="str">
        <v>Customer Management</v>
      </c>
      <c r="I55" s="1" t="str">
        <v>Party Reference Data Directory</v>
      </c>
      <c r="J55" s="1" t="str">
        <v>Media</v>
      </c>
      <c r="K55" s="1" t="str">
        <v>REST</v>
      </c>
      <c r="L55" s="1" t="str">
        <v>APIM</v>
      </c>
      <c r="M55" s="1" t="str">
        <v/>
      </c>
      <c r="N55" s="1" t="str">
        <v>v1.0.0</v>
      </c>
      <c r="O55" s="1" t="str">
        <v>2026-02-24</v>
      </c>
      <c r="P55" s="1" t="str">
        <v>En Desarrollo</v>
      </c>
      <c r="Q55" s="1" t="str">
        <v>Tribu Canales digitales - Mariluz Mendoza</v>
      </c>
      <c r="R55" s="1" t="str">
        <v>Revisar - posible duplicado en backlog</v>
      </c>
      <c r="S55" s="1" t="str">
        <v/>
      </c>
      <c r="T55" s="1" t="str">
        <v>Sí</v>
      </c>
      <c r="U55" s="1" t="str">
        <v>Pagos de Minoristas</v>
      </c>
      <c r="V55" s="1" t="str">
        <v/>
      </c>
      <c r="W55" s="1" t="str">
        <v/>
      </c>
    </row>
    <row r="56">
      <c r="A56" s="1" t="str">
        <v>D0055</v>
      </c>
      <c r="B56" s="1" t="str">
        <v>Colombia</v>
      </c>
      <c r="C56" s="1" t="str">
        <v/>
      </c>
      <c r="D56" s="1" t="str">
        <v>Administra los saldos, débitos y abonos sobre cuentas de ahorro.</v>
      </c>
      <c r="E56" s="1" t="str">
        <v/>
      </c>
      <c r="F56" s="1" t="str">
        <v>SD</v>
      </c>
      <c r="G56" s="1" t="str">
        <v/>
      </c>
      <c r="H56" s="1" t="str">
        <v>Loans and Deposits</v>
      </c>
      <c r="I56" s="1" t="str">
        <v>Loan</v>
      </c>
      <c r="J56" s="1" t="str">
        <v>Media</v>
      </c>
      <c r="K56" s="1" t="str">
        <v>REST</v>
      </c>
      <c r="L56" s="1" t="str">
        <v>APIM</v>
      </c>
      <c r="M56" s="1" t="str">
        <v/>
      </c>
      <c r="N56" s="1" t="str">
        <v>v1.0.0</v>
      </c>
      <c r="O56" s="1" t="str">
        <v>2026-02-24</v>
      </c>
      <c r="P56" s="1" t="str">
        <v>En Desarrollo</v>
      </c>
      <c r="Q56" s="1" t="str">
        <v>Tribu Canales digitales - Mariluz Mendoza</v>
      </c>
      <c r="R56" s="1" t="str">
        <v>Aprobado - modificacion sobre API existente</v>
      </c>
      <c r="S56" s="1" t="str">
        <v/>
      </c>
      <c r="T56" s="1" t="str">
        <v>No</v>
      </c>
      <c r="U56" s="1" t="str">
        <v>Pagos de Minoristas</v>
      </c>
      <c r="V56" s="1" t="str">
        <v/>
      </c>
      <c r="W56" s="1" t="str">
        <v/>
      </c>
    </row>
    <row r="57" xml:space="preserve">
      <c r="A57" s="1" t="str">
        <v>D0056</v>
      </c>
      <c r="B57" s="1" t="str">
        <v>Colombia</v>
      </c>
      <c r="C57" s="1" t="str">
        <v/>
      </c>
      <c r="D57" s="1" t="str" xml:space="preserve">
        <v xml:space="preserve">+ Evaluate: Crear el contexto de autenticación de la tarjeta de debito.
+ Device/Evaluate: Validar los datos de la tarjeta dentro del contexto creado en Evaluate
+ Password/Evaluate: Validar el PIN ATM de la tarjeta de debito (password existente) dentro del mismo contexto
+/Behavior/Retrieve: Valida el código OTP (SMS) enviado como parte del flujo de autenticación de la tarjeta
+ Execute: Solicita la creación código OTP</v>
      </c>
      <c r="E57" s="1" t="str">
        <v/>
      </c>
      <c r="F57" s="1" t="str">
        <v>SD</v>
      </c>
      <c r="G57" s="1" t="str">
        <v/>
      </c>
      <c r="H57" s="1" t="str">
        <v>Loans and Deposits</v>
      </c>
      <c r="I57" s="1" t="str">
        <v>Savings Account</v>
      </c>
      <c r="J57" s="1" t="str">
        <v>Alta</v>
      </c>
      <c r="K57" s="1" t="str">
        <v>REST</v>
      </c>
      <c r="L57" s="1" t="str">
        <v>APIM</v>
      </c>
      <c r="M57" s="1" t="str">
        <v/>
      </c>
      <c r="N57" s="1" t="str">
        <v>v1.0.0</v>
      </c>
      <c r="O57" s="1" t="str">
        <v>2026-02-24</v>
      </c>
      <c r="P57" s="1" t="str">
        <v>En Desarrollo</v>
      </c>
      <c r="Q57" s="1" t="str">
        <v>Tribu Canales digitales - Mariluz Mendoza</v>
      </c>
      <c r="R57" s="1" t="str">
        <v>Aprobado - modificacion sobre API existente</v>
      </c>
      <c r="S57" s="1" t="str">
        <v/>
      </c>
      <c r="T57" s="1" t="str">
        <v>No</v>
      </c>
      <c r="U57" s="1" t="str">
        <v>Pagos de Minoristas</v>
      </c>
      <c r="V57" s="1" t="str">
        <v/>
      </c>
      <c r="W57" s="1" t="str">
        <v/>
      </c>
    </row>
    <row r="58" xml:space="preserve">
      <c r="A58" s="1" t="str">
        <v>D0057</v>
      </c>
      <c r="B58" s="1" t="str">
        <v>Colombia</v>
      </c>
      <c r="C58" s="1" t="str">
        <v/>
      </c>
      <c r="D58" s="1" t="str" xml:space="preserve">
        <v xml:space="preserve">+ Evaluate: Determina si el cliente puede afiliarse a TAPP.
+ Update: Registra afiliación del cliente.
+ Retrieve: Valida si el cliente está afiliado a TAPP.</v>
      </c>
      <c r="E58" s="1" t="str">
        <v/>
      </c>
      <c r="F58" s="1" t="str">
        <v>SD</v>
      </c>
      <c r="G58" s="1" t="str">
        <v/>
      </c>
      <c r="H58" s="1" t="str">
        <v>Loans and Deposits</v>
      </c>
      <c r="I58" s="1" t="str">
        <v>Term Deposit</v>
      </c>
      <c r="J58" s="1" t="str">
        <v>Media</v>
      </c>
      <c r="K58" s="1" t="str">
        <v>REST</v>
      </c>
      <c r="L58" s="1" t="str">
        <v>APIM</v>
      </c>
      <c r="M58" s="1" t="str">
        <v/>
      </c>
      <c r="N58" s="1" t="str">
        <v>v1.0.0</v>
      </c>
      <c r="O58" s="1" t="str">
        <v>2026-02-24</v>
      </c>
      <c r="P58" s="1" t="str">
        <v>En Desarrollo</v>
      </c>
      <c r="Q58" s="1" t="str">
        <v>Tribu Canales digitales - Mariluz Mendoza</v>
      </c>
      <c r="R58" s="1" t="str">
        <v>Revisar - posible duplicado en backlog</v>
      </c>
      <c r="S58" s="1" t="str">
        <v/>
      </c>
      <c r="T58" s="1" t="str">
        <v>Sí</v>
      </c>
      <c r="U58" s="1" t="str">
        <v>Pagos de Minoristas</v>
      </c>
      <c r="V58" s="1" t="str">
        <v/>
      </c>
      <c r="W58" s="1" t="str">
        <v/>
      </c>
    </row>
    <row r="59" xml:space="preserve">
      <c r="A59" s="1" t="str">
        <v>D0058</v>
      </c>
      <c r="B59" s="1" t="str">
        <v>Colombia</v>
      </c>
      <c r="C59" s="1" t="str">
        <v/>
      </c>
      <c r="D59" s="1" t="str" xml:space="preserve">
        <v xml:space="preserve">+ PasswordAssignment/Initiate: Crea y reestablece el PIN TAPP del cliente.
+ PasswordAssignment/Update: Cambia la clave PIN TAPP.</v>
      </c>
      <c r="E59" s="1" t="str">
        <v/>
      </c>
      <c r="F59" s="1" t="str">
        <v>SD</v>
      </c>
      <c r="G59" s="1" t="str">
        <v/>
      </c>
      <c r="H59" s="1" t="str">
        <v>Customer Management</v>
      </c>
      <c r="I59" s="1" t="str">
        <v>Customer Product and Service Directory</v>
      </c>
      <c r="J59" s="1" t="str">
        <v>Media</v>
      </c>
      <c r="K59" s="1" t="str">
        <v>REST</v>
      </c>
      <c r="L59" s="1" t="str">
        <v>APIM</v>
      </c>
      <c r="M59" s="1" t="str">
        <v/>
      </c>
      <c r="N59" s="1" t="str">
        <v>v1.0.0</v>
      </c>
      <c r="O59" s="1" t="str">
        <v>2026-02-24</v>
      </c>
      <c r="P59" s="1" t="str">
        <v>En Desarrollo</v>
      </c>
      <c r="Q59" s="1" t="str">
        <v>Tribu Canales digitales - Mariluz Mendoza</v>
      </c>
      <c r="R59" s="1" t="str">
        <v>Revisar - posible duplicado en backlog</v>
      </c>
      <c r="S59" s="1" t="str">
        <v/>
      </c>
      <c r="T59" s="1" t="str">
        <v>Sí</v>
      </c>
      <c r="U59" s="1" t="str">
        <v>Pagos de Minoristas</v>
      </c>
      <c r="V59" s="1" t="str">
        <v/>
      </c>
      <c r="W59" s="1" t="str">
        <v/>
      </c>
    </row>
    <row r="60">
      <c r="A60" s="1" t="str">
        <v>D0059</v>
      </c>
      <c r="B60" s="1" t="str">
        <v>Colombia</v>
      </c>
      <c r="C60" s="1" t="str">
        <v/>
      </c>
      <c r="D60" s="1" t="str">
        <v>+ Outbound/Initiate: Envía la notificación al cliente (vía email).</v>
      </c>
      <c r="E60" s="1" t="str">
        <v/>
      </c>
      <c r="F60" s="1" t="str">
        <v>SD</v>
      </c>
      <c r="G60" s="1" t="str">
        <v/>
      </c>
      <c r="H60" s="1" t="str">
        <v>Collateral Administration</v>
      </c>
      <c r="I60" s="1" t="str">
        <v>Collateral Allocation Management</v>
      </c>
      <c r="J60" s="1" t="str">
        <v>Media</v>
      </c>
      <c r="K60" s="1" t="str">
        <v>REST</v>
      </c>
      <c r="L60" s="1" t="str">
        <v>APIM</v>
      </c>
      <c r="M60" s="1" t="str">
        <v/>
      </c>
      <c r="N60" s="1" t="str">
        <v>v1.0.0</v>
      </c>
      <c r="O60" s="1" t="str">
        <v>2026-02-24</v>
      </c>
      <c r="P60" s="1" t="str">
        <v/>
      </c>
      <c r="Q60" s="1" t="str">
        <v>Tribu Canales digitales - Mariluz Mendoza</v>
      </c>
      <c r="R60" s="1" t="str">
        <v>Revisar - posible duplicado en backlog</v>
      </c>
      <c r="S60" s="1" t="str">
        <v/>
      </c>
      <c r="T60" s="1" t="str">
        <v>Sí</v>
      </c>
      <c r="U60" s="1" t="str">
        <v>Pagos de Minoristas</v>
      </c>
      <c r="V60" s="1" t="str">
        <v/>
      </c>
      <c r="W60" s="1" t="str">
        <v/>
      </c>
    </row>
    <row r="61">
      <c r="A61" s="1" t="str">
        <v>D0060</v>
      </c>
      <c r="B61" s="1" t="str">
        <v>Colombia</v>
      </c>
      <c r="C61" s="1" t="str">
        <v/>
      </c>
      <c r="D61" s="1" t="str">
        <v>Recibe y procesa la solicitud de pago enviada por el BCRP</v>
      </c>
      <c r="E61" s="1" t="str">
        <v/>
      </c>
      <c r="F61" s="1" t="str">
        <v>SD</v>
      </c>
      <c r="G61" s="1" t="str">
        <v/>
      </c>
      <c r="H61" s="1" t="str">
        <v>Trade Banking</v>
      </c>
      <c r="I61" s="1" t="str">
        <v>Credit Facility</v>
      </c>
      <c r="J61" s="1" t="str">
        <v>Media</v>
      </c>
      <c r="K61" s="1" t="str">
        <v>REST</v>
      </c>
      <c r="L61" s="1" t="str">
        <v>APIM</v>
      </c>
      <c r="M61" s="1" t="str">
        <v/>
      </c>
      <c r="N61" s="1" t="str">
        <v>v1.0.0</v>
      </c>
      <c r="O61" s="1" t="str">
        <v>2026-02-24</v>
      </c>
      <c r="P61" s="1" t="str">
        <v/>
      </c>
      <c r="Q61" s="1" t="str">
        <v>Tribu Canales digitales - Mariluz Mendoza</v>
      </c>
      <c r="R61" s="1" t="str">
        <v>Aprobado - modificacion sobre API existente</v>
      </c>
      <c r="S61" s="1" t="str">
        <v/>
      </c>
      <c r="T61" s="1" t="str">
        <v>No</v>
      </c>
      <c r="U61" s="1" t="str">
        <v>Pagos de Minoristas</v>
      </c>
      <c r="V61" s="1" t="str">
        <v/>
      </c>
      <c r="W61" s="1" t="str">
        <v/>
      </c>
    </row>
    <row r="62">
      <c r="A62" s="1" t="str">
        <v>D0061</v>
      </c>
      <c r="B62" s="1" t="str">
        <v>Colombia</v>
      </c>
      <c r="C62" s="1" t="str">
        <v/>
      </c>
      <c r="D62" s="1" t="str">
        <v>Realiza la ejecución del pago</v>
      </c>
      <c r="E62" s="1" t="str">
        <v/>
      </c>
      <c r="F62" s="1" t="str">
        <v>SD</v>
      </c>
      <c r="G62" s="1" t="str">
        <v/>
      </c>
      <c r="H62" s="1" t="str">
        <v>Party</v>
      </c>
      <c r="I62" s="1" t="str">
        <v>Legal Entity Directory</v>
      </c>
      <c r="J62" s="1" t="str">
        <v>Media</v>
      </c>
      <c r="K62" s="1" t="str">
        <v>REST</v>
      </c>
      <c r="L62" s="1" t="str">
        <v>APIM</v>
      </c>
      <c r="M62" s="1" t="str">
        <v/>
      </c>
      <c r="N62" s="1" t="str">
        <v>v1.0.0</v>
      </c>
      <c r="O62" s="1" t="str">
        <v>2026-02-24</v>
      </c>
      <c r="P62" s="1" t="str">
        <v/>
      </c>
      <c r="Q62" s="1" t="str">
        <v>Tribu Canales digitales - Mariluz Mendoza</v>
      </c>
      <c r="R62" s="1" t="str">
        <v>Aprobado - modificacion sobre API existente</v>
      </c>
      <c r="S62" s="1" t="str">
        <v/>
      </c>
      <c r="T62" s="1" t="str">
        <v>No</v>
      </c>
      <c r="U62" s="1" t="str">
        <v>Pagos de Minoristas</v>
      </c>
      <c r="V62" s="1" t="str">
        <v/>
      </c>
      <c r="W62" s="1" t="str">
        <v/>
      </c>
    </row>
    <row r="63">
      <c r="A63" s="1" t="str">
        <v>D0062</v>
      </c>
      <c r="B63" s="1" t="str">
        <v>Colombia</v>
      </c>
      <c r="C63" s="1" t="str">
        <v/>
      </c>
      <c r="D63" s="1" t="str">
        <v>Recibe e inicia la solicitud de pago desde un canal externo (BCRP)</v>
      </c>
      <c r="E63" s="1" t="str">
        <v/>
      </c>
      <c r="F63" s="1" t="str">
        <v>SD</v>
      </c>
      <c r="G63" s="1" t="str">
        <v/>
      </c>
      <c r="H63" s="1" t="str">
        <v>Party</v>
      </c>
      <c r="I63" s="1" t="str">
        <v>Party Routing Profile</v>
      </c>
      <c r="J63" s="1" t="str">
        <v>Media</v>
      </c>
      <c r="K63" s="1" t="str">
        <v>REST</v>
      </c>
      <c r="L63" s="1" t="str">
        <v>APIM</v>
      </c>
      <c r="M63" s="1" t="str">
        <v/>
      </c>
      <c r="N63" s="1" t="str">
        <v>v1.0.0</v>
      </c>
      <c r="O63" s="1" t="str">
        <v>2026-02-24</v>
      </c>
      <c r="P63" s="1" t="str">
        <v/>
      </c>
      <c r="Q63" s="1" t="str">
        <v>Tribu Canales digitales - Mariluz Mendoza</v>
      </c>
      <c r="R63" s="1" t="str">
        <v>Revisar - posible duplicado en backlog</v>
      </c>
      <c r="S63" s="1" t="str">
        <v/>
      </c>
      <c r="T63" s="1" t="str">
        <v>Sí</v>
      </c>
      <c r="U63" s="1" t="str">
        <v>Pagos de Minoristas</v>
      </c>
      <c r="V63" s="1" t="str">
        <v/>
      </c>
      <c r="W63" s="1" t="str">
        <v/>
      </c>
    </row>
    <row r="64">
      <c r="A64" s="1" t="str">
        <v>D0063</v>
      </c>
      <c r="B64" s="1" t="str">
        <v>Colombia</v>
      </c>
      <c r="C64" s="1" t="str">
        <v/>
      </c>
      <c r="D64" s="1" t="str">
        <v>Realiza el registro de una trx financiera en el log transaccional</v>
      </c>
      <c r="E64" s="1" t="str">
        <v/>
      </c>
      <c r="F64" s="1" t="str">
        <v>SD</v>
      </c>
      <c r="G64" s="1" t="str">
        <v/>
      </c>
      <c r="H64" s="1" t="str">
        <v>Loans and Deposits</v>
      </c>
      <c r="I64" s="1" t="str">
        <v>Current Account</v>
      </c>
      <c r="J64" s="1" t="str">
        <v>Media</v>
      </c>
      <c r="K64" s="1" t="str">
        <v>REST</v>
      </c>
      <c r="L64" s="1" t="str">
        <v>APIM</v>
      </c>
      <c r="M64" s="1" t="str">
        <v/>
      </c>
      <c r="N64" s="1" t="str">
        <v>v1.0.0</v>
      </c>
      <c r="O64" s="1" t="str">
        <v>2026-02-24</v>
      </c>
      <c r="P64" s="1" t="str">
        <v>En Desarrollo</v>
      </c>
      <c r="Q64" s="1" t="str">
        <v>Tribu Canales digitales - Mariluz Mendoza</v>
      </c>
      <c r="R64" s="1" t="str">
        <v>Revisar - posible duplicado en backlog</v>
      </c>
      <c r="S64" s="1" t="str">
        <v/>
      </c>
      <c r="T64" s="1" t="str">
        <v>Sí</v>
      </c>
      <c r="U64" s="1" t="str">
        <v/>
      </c>
      <c r="V64" s="1" t="str">
        <v/>
      </c>
      <c r="W64" s="1" t="str">
        <v/>
      </c>
    </row>
    <row r="65">
      <c r="A65" s="1" t="str">
        <v>D0064</v>
      </c>
      <c r="B65" s="1" t="str">
        <v>Colombia</v>
      </c>
      <c r="C65" s="1" t="str">
        <v/>
      </c>
      <c r="D65" s="1" t="str">
        <v>Realiza la validación de riesgo de la trx</v>
      </c>
      <c r="E65" s="1" t="str">
        <v/>
      </c>
      <c r="F65" s="1" t="str">
        <v>SD</v>
      </c>
      <c r="G65" s="1" t="str">
        <v/>
      </c>
      <c r="H65" s="1" t="str">
        <v>Account Management</v>
      </c>
      <c r="I65" s="1" t="str">
        <v>Transaction Engine</v>
      </c>
      <c r="J65" s="1" t="str">
        <v>Media</v>
      </c>
      <c r="K65" s="1" t="str">
        <v>REST</v>
      </c>
      <c r="L65" s="1" t="str">
        <v>APIM</v>
      </c>
      <c r="M65" s="1" t="str">
        <v/>
      </c>
      <c r="N65" s="1" t="str">
        <v>v1.0.0</v>
      </c>
      <c r="O65" s="1" t="str">
        <v>2026-02-24</v>
      </c>
      <c r="P65" s="1" t="str">
        <v/>
      </c>
      <c r="Q65" s="1" t="str">
        <v>Tribu Canales digitales - Mariluz Mendoza</v>
      </c>
      <c r="R65" s="1" t="str">
        <v>Aprobado - modificacion sobre API existente</v>
      </c>
      <c r="S65" s="1" t="str">
        <v/>
      </c>
      <c r="T65" s="1" t="str">
        <v>No</v>
      </c>
      <c r="U65" s="1" t="str">
        <v/>
      </c>
      <c r="V65" s="1" t="str">
        <v/>
      </c>
      <c r="W65" s="1" t="str">
        <v/>
      </c>
    </row>
    <row r="66">
      <c r="A66" s="1" t="str">
        <v>D0065</v>
      </c>
      <c r="B66" s="1" t="str">
        <v>Colombia</v>
      </c>
      <c r="C66" s="1" t="str">
        <v/>
      </c>
      <c r="D66" s="1" t="str">
        <v>Realiza la autorización de la trx</v>
      </c>
      <c r="E66" s="1" t="str">
        <v/>
      </c>
      <c r="F66" s="1" t="str">
        <v>SD</v>
      </c>
      <c r="G66" s="1" t="str">
        <v>Product Catalog</v>
      </c>
      <c r="H66" s="1" t="str">
        <v>Product Management</v>
      </c>
      <c r="I66" s="1" t="str">
        <v>Product Directory</v>
      </c>
      <c r="J66" s="1" t="str">
        <v>Media</v>
      </c>
      <c r="K66" s="1" t="str">
        <v>REST</v>
      </c>
      <c r="L66" s="1" t="str">
        <v>APIM</v>
      </c>
      <c r="M66" s="1" t="str">
        <v/>
      </c>
      <c r="N66" s="1" t="str">
        <v>v1.0.0</v>
      </c>
      <c r="O66" s="1" t="str">
        <v>2026-02-24</v>
      </c>
      <c r="P66" s="1" t="str">
        <v/>
      </c>
      <c r="Q66" s="1" t="str">
        <v>Tribu Canales digitales - Mariluz Mendoza</v>
      </c>
      <c r="R66" s="1" t="str">
        <v>Revisar - posible duplicado en backlog</v>
      </c>
      <c r="S66" s="1" t="str">
        <v/>
      </c>
      <c r="T66" s="1" t="str">
        <v>Sí</v>
      </c>
      <c r="U66" s="1" t="str">
        <v>Pagos de Minoristas</v>
      </c>
      <c r="V66" s="1" t="str">
        <v/>
      </c>
      <c r="W66" s="1" t="str">
        <v/>
      </c>
    </row>
    <row r="67">
      <c r="A67" s="1" t="str">
        <v>D0066</v>
      </c>
      <c r="B67" s="1" t="str">
        <v>Colombia</v>
      </c>
      <c r="C67" s="1" t="str">
        <v/>
      </c>
      <c r="D67" s="1" t="str">
        <v/>
      </c>
      <c r="E67" s="1" t="str">
        <v/>
      </c>
      <c r="F67" s="1" t="str">
        <v>SD</v>
      </c>
      <c r="G67" s="1" t="str">
        <v/>
      </c>
      <c r="H67" s="1" t="str">
        <v>Payments</v>
      </c>
      <c r="I67" s="1" t="str">
        <v>ACH Operations</v>
      </c>
      <c r="J67" s="1" t="str">
        <v/>
      </c>
      <c r="K67" s="1" t="str">
        <v>REST</v>
      </c>
      <c r="L67" s="1" t="str">
        <v>APIM</v>
      </c>
      <c r="M67" s="1" t="str">
        <v/>
      </c>
      <c r="N67" s="1" t="str">
        <v>v1.0.0</v>
      </c>
      <c r="O67" s="1" t="str">
        <v>2026-02-24</v>
      </c>
      <c r="P67" s="1" t="str">
        <v/>
      </c>
      <c r="Q67" s="1" t="str">
        <v/>
      </c>
      <c r="R67" s="1" t="str">
        <v/>
      </c>
      <c r="S67" s="1" t="str">
        <v/>
      </c>
      <c r="T67" s="1" t="str">
        <v/>
      </c>
      <c r="U67" s="1" t="str">
        <v/>
      </c>
      <c r="V67" s="1" t="str">
        <v/>
      </c>
      <c r="W67" s="1" t="str">
        <v/>
      </c>
    </row>
    <row r="68">
      <c r="A68" s="1" t="str">
        <v>D0067</v>
      </c>
      <c r="B68" s="1" t="str">
        <v>Colombia</v>
      </c>
      <c r="C68" s="1" t="str">
        <v/>
      </c>
      <c r="D68" s="1" t="str">
        <v/>
      </c>
      <c r="E68" s="1" t="str">
        <v/>
      </c>
      <c r="F68" s="1" t="str">
        <v>SD</v>
      </c>
      <c r="G68" s="1" t="str">
        <v/>
      </c>
      <c r="H68" s="1" t="str">
        <v>Account Management</v>
      </c>
      <c r="I68" s="1" t="str">
        <v>Fraud Evaluation</v>
      </c>
      <c r="J68" s="1" t="str">
        <v/>
      </c>
      <c r="K68" s="1" t="str">
        <v>REST</v>
      </c>
      <c r="L68" s="1" t="str">
        <v>APIM</v>
      </c>
      <c r="M68" s="1" t="str">
        <v/>
      </c>
      <c r="N68" s="1" t="str">
        <v>v1.0.0</v>
      </c>
      <c r="O68" s="1" t="str">
        <v>2026-02-24</v>
      </c>
      <c r="P68" s="1" t="str">
        <v/>
      </c>
      <c r="Q68" s="1" t="str">
        <v/>
      </c>
      <c r="R68" s="1" t="str">
        <v/>
      </c>
      <c r="S68" s="1" t="str">
        <v/>
      </c>
      <c r="T68" s="1" t="str">
        <v/>
      </c>
      <c r="U68" s="1" t="str">
        <v/>
      </c>
      <c r="V68" s="1" t="str">
        <v/>
      </c>
      <c r="W68" s="1" t="str">
        <v/>
      </c>
    </row>
    <row r="69">
      <c r="A69" s="1" t="str">
        <v>D0068</v>
      </c>
      <c r="B69" s="1" t="str">
        <v>Colombia</v>
      </c>
      <c r="C69" s="1" t="str">
        <v/>
      </c>
      <c r="D69" s="1" t="str">
        <v/>
      </c>
      <c r="E69" s="1" t="str">
        <v/>
      </c>
      <c r="F69" s="1" t="str">
        <v>SD</v>
      </c>
      <c r="G69" s="1" t="str">
        <v/>
      </c>
      <c r="H69" s="1" t="str">
        <v>Servicing</v>
      </c>
      <c r="I69" s="1" t="str">
        <v>Payment Initiation</v>
      </c>
      <c r="J69" s="1" t="str">
        <v/>
      </c>
      <c r="K69" s="1" t="str">
        <v>REST</v>
      </c>
      <c r="L69" s="1" t="str">
        <v>APIM</v>
      </c>
      <c r="M69" s="1" t="str">
        <v/>
      </c>
      <c r="N69" s="1" t="str">
        <v>v1.0.0</v>
      </c>
      <c r="O69" s="1" t="str">
        <v>2026-02-24</v>
      </c>
      <c r="P69" s="1" t="str">
        <v/>
      </c>
      <c r="Q69" s="1" t="str">
        <v/>
      </c>
      <c r="R69" s="1" t="str">
        <v/>
      </c>
      <c r="S69" s="1" t="str">
        <v/>
      </c>
      <c r="T69" s="1" t="str">
        <v/>
      </c>
      <c r="U69" s="1" t="str">
        <v/>
      </c>
      <c r="V69" s="1" t="str">
        <v/>
      </c>
      <c r="W69" s="1" t="str">
        <v/>
      </c>
    </row>
    <row r="70">
      <c r="A70" s="1" t="str">
        <v>D0069</v>
      </c>
      <c r="B70" s="1" t="str">
        <v>Colombia</v>
      </c>
      <c r="C70" s="1" t="str">
        <v/>
      </c>
      <c r="D70" s="1" t="str">
        <v/>
      </c>
      <c r="E70" s="1" t="str">
        <v/>
      </c>
      <c r="F70" s="1" t="str">
        <v>SD</v>
      </c>
      <c r="G70" s="1" t="str">
        <v/>
      </c>
      <c r="H70" s="1" t="str">
        <v>Payments</v>
      </c>
      <c r="I70" s="1" t="str">
        <v>Payment Execution</v>
      </c>
      <c r="J70" s="1" t="str">
        <v/>
      </c>
      <c r="K70" s="1" t="str">
        <v>REST</v>
      </c>
      <c r="L70" s="1" t="str">
        <v>APIM</v>
      </c>
      <c r="M70" s="1" t="str">
        <v/>
      </c>
      <c r="N70" s="1" t="str">
        <v>v1.0.0</v>
      </c>
      <c r="O70" s="1" t="str">
        <v>2026-02-24</v>
      </c>
      <c r="P70" s="1" t="str">
        <v/>
      </c>
      <c r="Q70" s="1" t="str">
        <v/>
      </c>
      <c r="R70" s="1" t="str">
        <v/>
      </c>
      <c r="S70" s="1" t="str">
        <v/>
      </c>
      <c r="T70" s="1" t="str">
        <v/>
      </c>
      <c r="U70" s="1" t="str">
        <v/>
      </c>
      <c r="V70" s="1" t="str">
        <v/>
      </c>
      <c r="W70" s="1" t="str">
        <v/>
      </c>
    </row>
    <row r="71">
      <c r="A71" s="1" t="str">
        <v>D0070</v>
      </c>
      <c r="B71" s="1" t="str">
        <v>Colombia</v>
      </c>
      <c r="C71" s="1" t="str">
        <v/>
      </c>
      <c r="D71" s="1" t="str">
        <v>Evaluacion de Fraudes</v>
      </c>
      <c r="E71" s="1" t="str">
        <v/>
      </c>
      <c r="F71" s="1" t="str">
        <v>SD</v>
      </c>
      <c r="G71" s="1" t="str">
        <v/>
      </c>
      <c r="H71" s="1" t="str">
        <v>Payments</v>
      </c>
      <c r="I71" s="1" t="str">
        <v>Payment Order</v>
      </c>
      <c r="J71" s="1" t="str">
        <v>Media</v>
      </c>
      <c r="K71" s="1" t="str">
        <v>REST</v>
      </c>
      <c r="L71" s="1" t="str">
        <v>APIM</v>
      </c>
      <c r="M71" s="1" t="str">
        <v/>
      </c>
      <c r="N71" s="1" t="str">
        <v>v1.0.0</v>
      </c>
      <c r="O71" s="1" t="str">
        <v>2026-02-24</v>
      </c>
      <c r="P71" s="1" t="str">
        <v/>
      </c>
      <c r="Q71" s="1" t="str">
        <v>Fraudes - Manuel Espin</v>
      </c>
      <c r="R71" s="1" t="str">
        <v>Aprobado - modificacion sobre API existente</v>
      </c>
      <c r="S71" s="1" t="str">
        <v/>
      </c>
      <c r="T71" s="1" t="str">
        <v>No</v>
      </c>
      <c r="U71" s="1" t="str">
        <v>Consulta TC</v>
      </c>
      <c r="V71" s="1" t="str">
        <v>Topaz</v>
      </c>
      <c r="W71" s="1" t="str">
        <v/>
      </c>
    </row>
    <row r="72">
      <c r="A72" s="1" t="str">
        <v>D0071</v>
      </c>
      <c r="B72" s="1" t="str">
        <v>Colombia</v>
      </c>
      <c r="C72" s="1" t="str">
        <v/>
      </c>
      <c r="D72" s="1" t="str">
        <v>Evaluacion de Fraudes</v>
      </c>
      <c r="E72" s="1" t="str">
        <v/>
      </c>
      <c r="F72" s="1" t="str">
        <v>SD</v>
      </c>
      <c r="G72" s="1" t="str">
        <v/>
      </c>
      <c r="H72" s="1" t="str">
        <v>Market Data</v>
      </c>
      <c r="I72" s="1" t="str">
        <v>Public Reference Data Management</v>
      </c>
      <c r="J72" s="1" t="str">
        <v>Media</v>
      </c>
      <c r="K72" s="1" t="str">
        <v>REST</v>
      </c>
      <c r="L72" s="1" t="str">
        <v>APIM</v>
      </c>
      <c r="M72" s="1" t="str">
        <v/>
      </c>
      <c r="N72" s="1" t="str">
        <v>v1.0.0</v>
      </c>
      <c r="O72" s="1" t="str">
        <v>2026-02-24</v>
      </c>
      <c r="P72" s="1" t="str">
        <v/>
      </c>
      <c r="Q72" s="1" t="str">
        <v>Fraudes - Manuel Espin</v>
      </c>
      <c r="R72" s="1" t="str">
        <v>Revisar - posible duplicado en backlog</v>
      </c>
      <c r="S72" s="1" t="str">
        <v/>
      </c>
      <c r="T72" s="1" t="str">
        <v>Sí</v>
      </c>
      <c r="U72" s="1" t="str">
        <v>Evaluacion OP.Monetarias</v>
      </c>
      <c r="V72" s="1" t="str">
        <v>Topaz</v>
      </c>
      <c r="W72" s="1" t="str">
        <v/>
      </c>
    </row>
    <row r="73">
      <c r="A73" s="1" t="str">
        <v>D0072</v>
      </c>
      <c r="B73" s="1" t="str">
        <v>Colombia</v>
      </c>
      <c r="C73" s="1" t="str">
        <v/>
      </c>
      <c r="D73" s="1" t="str">
        <v>Evaluacion de Fraudes</v>
      </c>
      <c r="E73" s="1" t="str">
        <v/>
      </c>
      <c r="F73" s="1" t="str">
        <v>SD</v>
      </c>
      <c r="G73" s="1" t="str">
        <v/>
      </c>
      <c r="H73" s="1" t="str">
        <v>Models</v>
      </c>
      <c r="I73" s="1" t="str">
        <v>Credit Risk Models</v>
      </c>
      <c r="J73" s="1" t="str">
        <v>Media</v>
      </c>
      <c r="K73" s="1" t="str">
        <v>REST</v>
      </c>
      <c r="L73" s="1" t="str">
        <v>APIM</v>
      </c>
      <c r="M73" s="1" t="str">
        <v/>
      </c>
      <c r="N73" s="1" t="str">
        <v>v1.0.0</v>
      </c>
      <c r="O73" s="1" t="str">
        <v>2026-02-24</v>
      </c>
      <c r="P73" s="1" t="str">
        <v/>
      </c>
      <c r="Q73" s="1" t="str">
        <v>Fraudes - Manuel Espin</v>
      </c>
      <c r="R73" s="1" t="str">
        <v>Revisar - posible duplicado en backlog</v>
      </c>
      <c r="S73" s="1" t="str">
        <v/>
      </c>
      <c r="T73" s="1" t="str">
        <v>Sí</v>
      </c>
      <c r="U73" s="1" t="str">
        <v>Evaluacion OP.noMonetarias</v>
      </c>
      <c r="V73" s="1" t="str">
        <v>Topaz</v>
      </c>
      <c r="W73" s="1" t="str">
        <v/>
      </c>
    </row>
    <row r="74">
      <c r="A74" s="1" t="str">
        <v>D0073</v>
      </c>
      <c r="B74" s="1" t="str">
        <v>Colombia</v>
      </c>
      <c r="C74" s="1" t="str">
        <v/>
      </c>
      <c r="D74" s="1" t="str">
        <v>Evaluacion de Fraudes</v>
      </c>
      <c r="E74" s="1" t="str">
        <v/>
      </c>
      <c r="F74" s="1" t="str">
        <v>SD</v>
      </c>
      <c r="G74" s="1" t="str">
        <v/>
      </c>
      <c r="H74" s="1" t="str">
        <v>Sales</v>
      </c>
      <c r="I74" s="1" t="str">
        <v>Customer Offer</v>
      </c>
      <c r="J74" s="1" t="str">
        <v>Media</v>
      </c>
      <c r="K74" s="1" t="str">
        <v>REST</v>
      </c>
      <c r="L74" s="1" t="str">
        <v>APIM</v>
      </c>
      <c r="M74" s="1" t="str">
        <v/>
      </c>
      <c r="N74" s="1" t="str">
        <v>v1.0.0</v>
      </c>
      <c r="O74" s="1" t="str">
        <v>2026-02-24</v>
      </c>
      <c r="P74" s="1" t="str">
        <v/>
      </c>
      <c r="Q74" s="1" t="str">
        <v>Fraudes - Manuel Espin</v>
      </c>
      <c r="R74" s="1" t="str">
        <v>Aprobado - modificacion sobre API existente</v>
      </c>
      <c r="S74" s="1" t="str">
        <v/>
      </c>
      <c r="T74" s="1" t="str">
        <v>No</v>
      </c>
      <c r="U74" s="1" t="str">
        <v>Información faltante</v>
      </c>
      <c r="V74" s="1" t="str">
        <v>Topaz</v>
      </c>
      <c r="W74" s="1" t="str">
        <v/>
      </c>
    </row>
    <row r="75">
      <c r="A75" s="1" t="str">
        <v>D0074</v>
      </c>
      <c r="B75" s="1" t="str">
        <v>Colombia</v>
      </c>
      <c r="C75" s="1" t="str">
        <v/>
      </c>
      <c r="D75" s="1" t="str">
        <v/>
      </c>
      <c r="E75" s="1" t="str">
        <v/>
      </c>
      <c r="F75" s="1" t="str">
        <v>SD</v>
      </c>
      <c r="G75" s="1" t="str">
        <v/>
      </c>
      <c r="H75" s="1" t="str">
        <v>Operational Services</v>
      </c>
      <c r="I75" s="1" t="str">
        <v>Internal Bank Account</v>
      </c>
      <c r="J75" s="1" t="str">
        <v/>
      </c>
      <c r="K75" s="1" t="str">
        <v>REST</v>
      </c>
      <c r="L75" s="1" t="str">
        <v>APIM</v>
      </c>
      <c r="M75" s="1" t="str">
        <v/>
      </c>
      <c r="N75" s="1" t="str">
        <v>v1.0.0</v>
      </c>
      <c r="O75" s="1" t="str">
        <v>2026-02-24</v>
      </c>
      <c r="P75" s="1" t="str">
        <v/>
      </c>
      <c r="Q75" s="1" t="str">
        <v/>
      </c>
      <c r="R75" s="1" t="str">
        <v/>
      </c>
      <c r="S75" s="1" t="str">
        <v/>
      </c>
      <c r="T75" s="1" t="str">
        <v/>
      </c>
      <c r="U75" s="1" t="str">
        <v/>
      </c>
      <c r="V75" s="1" t="str">
        <v/>
      </c>
      <c r="W75" s="1" t="str">
        <v/>
      </c>
    </row>
    <row r="76">
      <c r="A76" s="1" t="str">
        <v>D0075</v>
      </c>
      <c r="B76" s="1" t="str">
        <v>Colombia</v>
      </c>
      <c r="C76" s="1" t="str">
        <v/>
      </c>
      <c r="D76" s="1" t="str">
        <v/>
      </c>
      <c r="E76" s="1" t="str">
        <v/>
      </c>
      <c r="F76" s="1" t="str">
        <v>SD</v>
      </c>
      <c r="G76" s="1" t="str">
        <v/>
      </c>
      <c r="H76" s="1" t="str">
        <v>Sales</v>
      </c>
      <c r="I76" s="1" t="str">
        <v>Lead and Opportunity Management</v>
      </c>
      <c r="J76" s="1" t="str">
        <v/>
      </c>
      <c r="K76" s="1" t="str">
        <v>REST</v>
      </c>
      <c r="L76" s="1" t="str">
        <v>APIM</v>
      </c>
      <c r="M76" s="1" t="str">
        <v/>
      </c>
      <c r="N76" s="1" t="str">
        <v>v1.0.0</v>
      </c>
      <c r="O76" s="1" t="str">
        <v>2026-02-24</v>
      </c>
      <c r="P76" s="1" t="str">
        <v/>
      </c>
      <c r="Q76" s="1" t="str">
        <v/>
      </c>
      <c r="R76" s="1" t="str">
        <v/>
      </c>
      <c r="S76" s="1" t="str">
        <v/>
      </c>
      <c r="T76" s="1" t="str">
        <v/>
      </c>
      <c r="U76" s="1" t="str">
        <v/>
      </c>
      <c r="V76" s="1" t="str">
        <v/>
      </c>
      <c r="W76" s="1" t="str">
        <v/>
      </c>
    </row>
    <row r="77">
      <c r="A77" s="1" t="str">
        <v>D0076</v>
      </c>
      <c r="B77" s="1" t="str">
        <v>Colombia</v>
      </c>
      <c r="C77" s="1" t="str">
        <v/>
      </c>
      <c r="D77" s="1" t="str">
        <v/>
      </c>
      <c r="E77" s="1" t="str">
        <v/>
      </c>
      <c r="F77" s="1" t="str">
        <v>SD</v>
      </c>
      <c r="G77" s="1" t="str">
        <v/>
      </c>
      <c r="H77" s="1" t="str">
        <v>Sales</v>
      </c>
      <c r="I77" s="1" t="str">
        <v>Product Matching</v>
      </c>
      <c r="J77" s="1" t="str">
        <v/>
      </c>
      <c r="K77" s="1" t="str">
        <v>REST</v>
      </c>
      <c r="L77" s="1" t="str">
        <v>APIM</v>
      </c>
      <c r="M77" s="1" t="str">
        <v/>
      </c>
      <c r="N77" s="1" t="str">
        <v>v1.0.0</v>
      </c>
      <c r="O77" s="1" t="str">
        <v>2026-02-24</v>
      </c>
      <c r="P77" s="1" t="str">
        <v/>
      </c>
      <c r="Q77" s="1" t="str">
        <v/>
      </c>
      <c r="R77" s="1" t="str">
        <v/>
      </c>
      <c r="S77" s="1" t="str">
        <v/>
      </c>
      <c r="T77" s="1" t="str">
        <v/>
      </c>
      <c r="U77" s="1" t="str">
        <v/>
      </c>
      <c r="V77" s="1" t="str">
        <v/>
      </c>
      <c r="W77" s="1" t="str">
        <v/>
      </c>
    </row>
    <row r="78">
      <c r="A78" s="1" t="str">
        <v>D0077</v>
      </c>
      <c r="B78" s="1" t="str">
        <v>Colombia</v>
      </c>
      <c r="C78" s="1" t="str">
        <v/>
      </c>
      <c r="D78" s="1" t="str">
        <v/>
      </c>
      <c r="E78" s="1" t="str">
        <v/>
      </c>
      <c r="F78" s="1" t="str">
        <v>SD</v>
      </c>
      <c r="G78" s="1" t="str">
        <v/>
      </c>
      <c r="H78" s="1" t="str">
        <v>Sales</v>
      </c>
      <c r="I78" s="1" t="str">
        <v>Underwriting</v>
      </c>
      <c r="J78" s="1" t="str">
        <v/>
      </c>
      <c r="K78" s="1" t="str">
        <v>REST</v>
      </c>
      <c r="L78" s="1" t="str">
        <v>APIM</v>
      </c>
      <c r="M78" s="1" t="str">
        <v/>
      </c>
      <c r="N78" s="1" t="str">
        <v>v1.0.0</v>
      </c>
      <c r="O78" s="1" t="str">
        <v>2026-02-24</v>
      </c>
      <c r="P78" s="1" t="str">
        <v/>
      </c>
      <c r="Q78" s="1" t="str">
        <v/>
      </c>
      <c r="R78" s="1" t="str">
        <v/>
      </c>
      <c r="S78" s="1" t="str">
        <v/>
      </c>
      <c r="T78" s="1" t="str">
        <v/>
      </c>
      <c r="U78" s="1" t="str">
        <v/>
      </c>
      <c r="V78" s="1" t="str">
        <v/>
      </c>
      <c r="W78" s="1" t="str">
        <v/>
      </c>
    </row>
    <row r="79">
      <c r="A79" s="1" t="str">
        <v>D0078</v>
      </c>
      <c r="B79" s="1" t="str">
        <v>Colombia</v>
      </c>
      <c r="C79" s="1" t="str">
        <v/>
      </c>
      <c r="D79" s="1" t="str">
        <v/>
      </c>
      <c r="E79" s="1" t="str">
        <v/>
      </c>
      <c r="F79" s="1" t="str">
        <v>SD</v>
      </c>
      <c r="G79" s="1" t="str">
        <v/>
      </c>
      <c r="H79" s="1" t="str">
        <v>Customer Management</v>
      </c>
      <c r="I79" s="1" t="str">
        <v>Customer Agreement</v>
      </c>
      <c r="J79" s="1" t="str">
        <v/>
      </c>
      <c r="K79" s="1" t="str">
        <v>REST</v>
      </c>
      <c r="L79" s="1" t="str">
        <v>APIM</v>
      </c>
      <c r="M79" s="1" t="str">
        <v/>
      </c>
      <c r="N79" s="1" t="str">
        <v>v1.0.0</v>
      </c>
      <c r="O79" s="1" t="str">
        <v>2026-02-24</v>
      </c>
      <c r="P79" s="1" t="str">
        <v/>
      </c>
      <c r="Q79" s="1" t="str">
        <v/>
      </c>
      <c r="R79" s="1" t="str">
        <v/>
      </c>
      <c r="S79" s="1" t="str">
        <v/>
      </c>
      <c r="T79" s="1" t="str">
        <v/>
      </c>
      <c r="U79" s="1" t="str">
        <v/>
      </c>
      <c r="V79" s="1" t="str">
        <v/>
      </c>
      <c r="W79" s="1" t="str">
        <v/>
      </c>
    </row>
    <row r="80">
      <c r="A80" s="1" t="str">
        <v>D0079</v>
      </c>
      <c r="B80" s="1" t="str">
        <v>Colombia</v>
      </c>
      <c r="C80" s="1" t="str">
        <v/>
      </c>
      <c r="D80" s="1" t="str">
        <v>Mantener una trazabilidad de las acciones, interacciónes que tiene el cliente en el canal, durante su atención.</v>
      </c>
      <c r="E80" s="1" t="str">
        <v/>
      </c>
      <c r="F80" s="1" t="str">
        <v>SD</v>
      </c>
      <c r="G80" s="1" t="str">
        <v/>
      </c>
      <c r="H80" s="1" t="str">
        <v>Operational Services</v>
      </c>
      <c r="I80" s="1" t="str">
        <v>Customer Billing</v>
      </c>
      <c r="J80" s="1" t="str">
        <v/>
      </c>
      <c r="K80" s="1" t="str">
        <v>REST</v>
      </c>
      <c r="L80" s="1" t="str">
        <v>APIM</v>
      </c>
      <c r="M80" s="1" t="str">
        <v/>
      </c>
      <c r="N80" s="1" t="str">
        <v>v1.0.0</v>
      </c>
      <c r="O80" s="1" t="str">
        <v>2026-02-24</v>
      </c>
      <c r="P80" s="1" t="str">
        <v/>
      </c>
      <c r="Q80" s="1" t="str">
        <v/>
      </c>
      <c r="R80" s="1" t="str">
        <v>Revisar - posible duplicado en backlog</v>
      </c>
      <c r="S80" s="1" t="str">
        <v/>
      </c>
      <c r="T80" s="1" t="str">
        <v>Sí</v>
      </c>
      <c r="U80" s="1" t="str">
        <v>Disposición de Líneas</v>
      </c>
      <c r="V80" s="1" t="str">
        <v/>
      </c>
      <c r="W80" s="1" t="str">
        <v/>
      </c>
    </row>
    <row r="81">
      <c r="A81" s="1" t="str">
        <v>D0080</v>
      </c>
      <c r="B81" s="1" t="str">
        <v>Colombia</v>
      </c>
      <c r="C81" s="1" t="str">
        <v/>
      </c>
      <c r="D81" s="1" t="str">
        <v>Orquestar el flujo desde Urpi Pro hacia otros canales o servicios del banco</v>
      </c>
      <c r="E81" s="1" t="str">
        <v/>
      </c>
      <c r="F81" s="1" t="str">
        <v>SD</v>
      </c>
      <c r="G81" s="1" t="str">
        <v/>
      </c>
      <c r="H81" s="1" t="str">
        <v>Consumer Services</v>
      </c>
      <c r="I81" s="1" t="str">
        <v>Customer Tax Handling</v>
      </c>
      <c r="J81" s="1" t="str">
        <v/>
      </c>
      <c r="K81" s="1" t="str">
        <v>REST</v>
      </c>
      <c r="L81" s="1" t="str">
        <v>APIM</v>
      </c>
      <c r="M81" s="1" t="str">
        <v/>
      </c>
      <c r="N81" s="1" t="str">
        <v>v1.0.0</v>
      </c>
      <c r="O81" s="1" t="str">
        <v>2026-02-24</v>
      </c>
      <c r="P81" s="1" t="str">
        <v/>
      </c>
      <c r="Q81" s="1" t="str">
        <v/>
      </c>
      <c r="R81" s="1" t="str">
        <v>Revisar - posible duplicado en backlog</v>
      </c>
      <c r="S81" s="1" t="str">
        <v/>
      </c>
      <c r="T81" s="1" t="str">
        <v>Sí</v>
      </c>
      <c r="U81" s="1" t="str">
        <v>Disposición de Líneas</v>
      </c>
      <c r="V81" s="1" t="str">
        <v/>
      </c>
      <c r="W81" s="1" t="str">
        <v/>
      </c>
    </row>
    <row r="82">
      <c r="A82" s="1" t="str">
        <v>D0081</v>
      </c>
      <c r="B82" s="1" t="str">
        <v>Colombia</v>
      </c>
      <c r="C82" s="1" t="str">
        <v/>
      </c>
      <c r="D82" s="1" t="str">
        <v>Determinar el mejor destino para continuar la atención de un cliente.</v>
      </c>
      <c r="E82" s="1" t="str">
        <v/>
      </c>
      <c r="F82" s="1" t="str">
        <v>SD</v>
      </c>
      <c r="G82" s="1" t="str">
        <v/>
      </c>
      <c r="H82" s="1" t="str">
        <v>Account Management</v>
      </c>
      <c r="I82" s="1" t="str">
        <v>Position Keeping</v>
      </c>
      <c r="J82" s="1" t="str">
        <v/>
      </c>
      <c r="K82" s="1" t="str">
        <v>REST</v>
      </c>
      <c r="L82" s="1" t="str">
        <v>APIM</v>
      </c>
      <c r="M82" s="1" t="str">
        <v/>
      </c>
      <c r="N82" s="1" t="str">
        <v>v1.0.0</v>
      </c>
      <c r="O82" s="1" t="str">
        <v>2026-02-24</v>
      </c>
      <c r="P82" s="1" t="str">
        <v/>
      </c>
      <c r="Q82" s="1" t="str">
        <v/>
      </c>
      <c r="R82" s="1" t="str">
        <v>Revisar - ya existe en catalogo BIAN, evaluar reutilizacion</v>
      </c>
      <c r="S82" s="1" t="str">
        <v/>
      </c>
      <c r="T82" s="1" t="str">
        <v>No</v>
      </c>
      <c r="U82" s="1" t="str">
        <v>Disposición de Líneas</v>
      </c>
      <c r="V82" s="1" t="str">
        <v/>
      </c>
      <c r="W82" s="1" t="str">
        <v/>
      </c>
    </row>
    <row r="83">
      <c r="A83" s="1" t="str">
        <v>D0082</v>
      </c>
      <c r="B83" s="1" t="str">
        <v>Colombia</v>
      </c>
      <c r="C83" s="1" t="str">
        <v/>
      </c>
      <c r="D83" s="1" t="str">
        <v>Desestimada en el análisis detallado</v>
      </c>
      <c r="E83" s="1" t="str">
        <v/>
      </c>
      <c r="F83" s="1" t="str">
        <v>SD</v>
      </c>
      <c r="G83" s="1" t="str">
        <v/>
      </c>
      <c r="H83" s="1" t="str">
        <v>Regulations and Compliance</v>
      </c>
      <c r="I83" s="1" t="str">
        <v>Regulatory Compliance</v>
      </c>
      <c r="J83" s="1" t="str">
        <v/>
      </c>
      <c r="K83" s="1" t="str">
        <v>REST</v>
      </c>
      <c r="L83" s="1" t="str">
        <v>APIM</v>
      </c>
      <c r="M83" s="1" t="str">
        <v/>
      </c>
      <c r="N83" s="1" t="str">
        <v>v1.0.0</v>
      </c>
      <c r="O83" s="1" t="str">
        <v>2026-02-24</v>
      </c>
      <c r="P83" s="1" t="str">
        <v/>
      </c>
      <c r="Q83" s="1" t="str">
        <v/>
      </c>
      <c r="R83" s="1" t="str">
        <v>Pendiente de definicion</v>
      </c>
      <c r="S83" s="1" t="str">
        <v/>
      </c>
      <c r="T83" s="1" t="str">
        <v>No</v>
      </c>
      <c r="U83" s="1" t="str">
        <v>Disposición de Líneas</v>
      </c>
      <c r="V83" s="1" t="str">
        <v/>
      </c>
      <c r="W83" s="1" t="str">
        <v/>
      </c>
    </row>
    <row r="84">
      <c r="A84" s="1" t="str">
        <v>D0083</v>
      </c>
      <c r="B84" s="1" t="str">
        <v>Colombia</v>
      </c>
      <c r="C84" s="1" t="str">
        <v/>
      </c>
      <c r="D84" s="1" t="str">
        <v>Gestionar la oferta y solicitudes de crédito de los clientes</v>
      </c>
      <c r="E84" s="1" t="str">
        <v/>
      </c>
      <c r="F84" s="1" t="str">
        <v>SD</v>
      </c>
      <c r="G84" s="1" t="str">
        <v/>
      </c>
      <c r="H84" s="1" t="str">
        <v>Customer Management</v>
      </c>
      <c r="I84" s="1" t="str">
        <v>Sales Product Agreement</v>
      </c>
      <c r="J84" s="1" t="str">
        <v/>
      </c>
      <c r="K84" s="1" t="str">
        <v>REST</v>
      </c>
      <c r="L84" s="1" t="str">
        <v>APIM</v>
      </c>
      <c r="M84" s="1" t="str">
        <v/>
      </c>
      <c r="N84" s="1" t="str">
        <v>v1.0.0</v>
      </c>
      <c r="O84" s="1" t="str">
        <v>2026-02-24</v>
      </c>
      <c r="P84" s="1" t="str">
        <v/>
      </c>
      <c r="Q84" s="1" t="str">
        <v/>
      </c>
      <c r="R84" s="1" t="str">
        <v>Aprobado - modificacion sobre API existente</v>
      </c>
      <c r="S84" s="1" t="str">
        <v/>
      </c>
      <c r="T84" s="1" t="str">
        <v>No</v>
      </c>
      <c r="U84" s="1" t="str">
        <v>Disposición de Líneas</v>
      </c>
      <c r="V84" s="1" t="str">
        <v/>
      </c>
      <c r="W84" s="1" t="str">
        <v/>
      </c>
    </row>
    <row r="85">
      <c r="A85" s="1" t="str">
        <v>D0084</v>
      </c>
      <c r="B85" s="1" t="str">
        <v>Colombia</v>
      </c>
      <c r="C85" s="1" t="str">
        <v/>
      </c>
      <c r="D85" s="1" t="str">
        <v>Obtener las cuentas de ahorro de un cliente para el desembolso</v>
      </c>
      <c r="E85" s="1" t="str">
        <v/>
      </c>
      <c r="F85" s="1" t="str">
        <v>SD</v>
      </c>
      <c r="G85" s="1" t="str">
        <v/>
      </c>
      <c r="H85" s="1" t="str">
        <v>Cross Channel</v>
      </c>
      <c r="I85" s="1" t="str">
        <v>Transaction Authorization</v>
      </c>
      <c r="J85" s="1" t="str">
        <v/>
      </c>
      <c r="K85" s="1" t="str">
        <v>REST</v>
      </c>
      <c r="L85" s="1" t="str">
        <v>APIM</v>
      </c>
      <c r="M85" s="1" t="str">
        <v/>
      </c>
      <c r="N85" s="1" t="str">
        <v>v1.0.0</v>
      </c>
      <c r="O85" s="1" t="str">
        <v>2026-02-24</v>
      </c>
      <c r="P85" s="1" t="str">
        <v/>
      </c>
      <c r="Q85" s="1" t="str">
        <v/>
      </c>
      <c r="R85" s="1" t="str">
        <v>Aprobado - reutilizacion</v>
      </c>
      <c r="S85" s="1" t="str">
        <v/>
      </c>
      <c r="T85" s="1" t="str">
        <v>No</v>
      </c>
      <c r="U85" s="1" t="str">
        <v>Disposición de Líneas</v>
      </c>
      <c r="V85" s="1" t="str">
        <v/>
      </c>
      <c r="W85" s="1" t="str">
        <v/>
      </c>
    </row>
    <row r="86">
      <c r="A86" s="1" t="str">
        <v>D0085</v>
      </c>
      <c r="B86" s="1" t="str">
        <v>Colombia</v>
      </c>
      <c r="C86" s="1" t="str">
        <v/>
      </c>
      <c r="D86" s="1" t="str">
        <v>Consultar Leads de Venta</v>
      </c>
      <c r="E86" s="1" t="str">
        <v/>
      </c>
      <c r="F86" s="1" t="str">
        <v>SD</v>
      </c>
      <c r="G86" s="1" t="str">
        <v/>
      </c>
      <c r="H86" s="1" t="str">
        <v>Operational Services</v>
      </c>
      <c r="I86" s="1" t="str">
        <v>Channel Activity History</v>
      </c>
      <c r="J86" s="1" t="str">
        <v/>
      </c>
      <c r="K86" s="1" t="str">
        <v>REST</v>
      </c>
      <c r="L86" s="1" t="str">
        <v>APIM</v>
      </c>
      <c r="M86" s="1" t="str">
        <v/>
      </c>
      <c r="N86" s="1" t="str">
        <v>v1.0.0</v>
      </c>
      <c r="O86" s="1" t="str">
        <v>2026-02-24</v>
      </c>
      <c r="P86" s="1" t="str">
        <v>En Desarrollo</v>
      </c>
      <c r="Q86" s="1" t="str">
        <v/>
      </c>
      <c r="R86" s="1" t="str">
        <v>Aprobado - modificacion sobre API existente</v>
      </c>
      <c r="S86" s="1" t="str">
        <v/>
      </c>
      <c r="T86" s="1" t="str">
        <v>No</v>
      </c>
      <c r="U86" s="1" t="str">
        <v>Disposición de Líneas</v>
      </c>
      <c r="V86" s="1" t="str">
        <v/>
      </c>
      <c r="W86" s="1" t="str">
        <v/>
      </c>
    </row>
    <row r="87">
      <c r="A87" s="1" t="str">
        <v>D0086</v>
      </c>
      <c r="B87" s="1" t="str">
        <v>Colombia</v>
      </c>
      <c r="C87" s="1" t="str">
        <v/>
      </c>
      <c r="D87" s="1" t="str">
        <v>Consultar datos del cliente</v>
      </c>
      <c r="E87" s="1" t="str">
        <v/>
      </c>
      <c r="F87" s="1" t="str">
        <v>SD</v>
      </c>
      <c r="G87" s="1" t="str">
        <v/>
      </c>
      <c r="H87" s="1" t="str">
        <v>Cross Channel</v>
      </c>
      <c r="I87" s="1" t="str">
        <v>Contact Handler</v>
      </c>
      <c r="J87" s="1" t="str">
        <v/>
      </c>
      <c r="K87" s="1" t="str">
        <v>REST</v>
      </c>
      <c r="L87" s="1" t="str">
        <v>APIM</v>
      </c>
      <c r="M87" s="1" t="str">
        <v/>
      </c>
      <c r="N87" s="1" t="str">
        <v>v1.0.0</v>
      </c>
      <c r="O87" s="1" t="str">
        <v>2026-02-24</v>
      </c>
      <c r="P87" s="1" t="str">
        <v/>
      </c>
      <c r="Q87" s="1" t="str">
        <v/>
      </c>
      <c r="R87" s="1" t="str">
        <v>Aprobado - reutilizacion</v>
      </c>
      <c r="S87" s="1" t="str">
        <v/>
      </c>
      <c r="T87" s="1" t="str">
        <v>No</v>
      </c>
      <c r="U87" s="1" t="str">
        <v>Disposición de Líneas</v>
      </c>
      <c r="V87" s="1" t="str">
        <v>Topaz</v>
      </c>
      <c r="W87" s="1" t="str">
        <v/>
      </c>
    </row>
    <row r="88">
      <c r="A88" s="1" t="str">
        <v>D0087</v>
      </c>
      <c r="B88" s="1" t="str">
        <v>Colombia</v>
      </c>
      <c r="C88" s="1" t="str">
        <v/>
      </c>
      <c r="D88" s="1" t="str">
        <v>Desestimada en el análisis detallado</v>
      </c>
      <c r="E88" s="1" t="str">
        <v/>
      </c>
      <c r="F88" s="1" t="str">
        <v>SD</v>
      </c>
      <c r="G88" s="1" t="str">
        <v/>
      </c>
      <c r="H88" s="1" t="str">
        <v>Document Management and Archive</v>
      </c>
      <c r="I88" s="1" t="str">
        <v>Correspondence</v>
      </c>
      <c r="J88" s="1" t="str">
        <v/>
      </c>
      <c r="K88" s="1" t="str">
        <v>REST</v>
      </c>
      <c r="L88" s="1" t="str">
        <v>APIM</v>
      </c>
      <c r="M88" s="1" t="str">
        <v/>
      </c>
      <c r="N88" s="1" t="str">
        <v>v1.0.0</v>
      </c>
      <c r="O88" s="1" t="str">
        <v>2026-02-24</v>
      </c>
      <c r="P88" s="1" t="str">
        <v/>
      </c>
      <c r="Q88" s="1" t="str">
        <v/>
      </c>
      <c r="R88" s="1" t="str">
        <v>Pendiente de definicion</v>
      </c>
      <c r="S88" s="1" t="str">
        <v/>
      </c>
      <c r="T88" s="1" t="str">
        <v>No</v>
      </c>
      <c r="U88" s="1" t="str">
        <v>Gestión de Mora del Cliente</v>
      </c>
      <c r="V88" s="1" t="str">
        <v>Topaz</v>
      </c>
      <c r="W88" s="1" t="str">
        <v/>
      </c>
    </row>
    <row r="89">
      <c r="A89" s="1" t="str">
        <v>D0088</v>
      </c>
      <c r="B89" s="1" t="str">
        <v>Colombia</v>
      </c>
      <c r="C89" s="1" t="str">
        <v/>
      </c>
      <c r="D89" s="1" t="str">
        <v>Desestimada en el análisis detallado</v>
      </c>
      <c r="E89" s="1" t="str">
        <v/>
      </c>
      <c r="F89" s="1" t="str">
        <v>SD</v>
      </c>
      <c r="G89" s="1" t="str">
        <v/>
      </c>
      <c r="H89" s="1" t="str">
        <v>Cross Channel</v>
      </c>
      <c r="I89" s="1" t="str">
        <v>Session Dialogue</v>
      </c>
      <c r="J89" s="1" t="str">
        <v/>
      </c>
      <c r="K89" s="1" t="str">
        <v>REST</v>
      </c>
      <c r="L89" s="1" t="str">
        <v>APIM</v>
      </c>
      <c r="M89" s="1" t="str">
        <v/>
      </c>
      <c r="N89" s="1" t="str">
        <v>v1.0.0</v>
      </c>
      <c r="O89" s="1" t="str">
        <v>2026-02-24</v>
      </c>
      <c r="P89" s="1" t="str">
        <v/>
      </c>
      <c r="Q89" s="1" t="str">
        <v/>
      </c>
      <c r="R89" s="1" t="str">
        <v>Pendiente de definicion</v>
      </c>
      <c r="S89" s="1" t="str">
        <v/>
      </c>
      <c r="T89" s="1" t="str">
        <v>No</v>
      </c>
      <c r="U89" s="1" t="str">
        <v>Gestión de Mora del Cliente</v>
      </c>
      <c r="V89" s="1" t="str">
        <v>Topaz</v>
      </c>
      <c r="W89" s="1" t="str">
        <v/>
      </c>
    </row>
    <row r="90">
      <c r="A90" s="1" t="str">
        <v>D0089</v>
      </c>
      <c r="B90" s="1" t="str">
        <v>Colombia</v>
      </c>
      <c r="C90" s="1" t="str">
        <v/>
      </c>
      <c r="D90" s="1" t="str">
        <v>Desestimada en el análisis detallado</v>
      </c>
      <c r="E90" s="1" t="str">
        <v/>
      </c>
      <c r="F90" s="1" t="str">
        <v>SD</v>
      </c>
      <c r="G90" s="1" t="str">
        <v/>
      </c>
      <c r="H90" s="1" t="str">
        <v>Operational Services</v>
      </c>
      <c r="I90" s="1" t="str">
        <v>Disbursement</v>
      </c>
      <c r="J90" s="1" t="str">
        <v/>
      </c>
      <c r="K90" s="1" t="str">
        <v>REST</v>
      </c>
      <c r="L90" s="1" t="str">
        <v>APIM</v>
      </c>
      <c r="M90" s="1" t="str">
        <v/>
      </c>
      <c r="N90" s="1" t="str">
        <v>v1.0.0</v>
      </c>
      <c r="O90" s="1" t="str">
        <v>2026-02-24</v>
      </c>
      <c r="P90" s="1" t="str">
        <v/>
      </c>
      <c r="Q90" s="1" t="str">
        <v/>
      </c>
      <c r="R90" s="1" t="str">
        <v>Pendiente de definicion</v>
      </c>
      <c r="S90" s="1" t="str">
        <v/>
      </c>
      <c r="T90" s="1" t="str">
        <v>No</v>
      </c>
      <c r="U90" s="1" t="str">
        <v>Gestión de Mora del Cliente</v>
      </c>
      <c r="V90" s="1" t="str">
        <v>Topaz</v>
      </c>
      <c r="W90" s="1" t="str">
        <v/>
      </c>
    </row>
    <row r="91">
      <c r="A91" s="1" t="str">
        <v>D0090</v>
      </c>
      <c r="B91" s="1" t="str">
        <v>Colombia</v>
      </c>
      <c r="C91" s="1" t="str">
        <v/>
      </c>
      <c r="D91" s="1" t="str">
        <v>Desestimada en el análisis detallado</v>
      </c>
      <c r="E91" s="1" t="str">
        <v/>
      </c>
      <c r="F91" s="1" t="str">
        <v>SD</v>
      </c>
      <c r="G91" s="1" t="str">
        <v/>
      </c>
      <c r="H91" s="1" t="str">
        <v>Payments</v>
      </c>
      <c r="I91" s="1" t="str">
        <v>Payment Rail Operations</v>
      </c>
      <c r="J91" s="1" t="str">
        <v/>
      </c>
      <c r="K91" s="1" t="str">
        <v>REST</v>
      </c>
      <c r="L91" s="1" t="str">
        <v>APIM</v>
      </c>
      <c r="M91" s="1" t="str">
        <v/>
      </c>
      <c r="N91" s="1" t="str">
        <v>v1.0.0</v>
      </c>
      <c r="O91" s="1" t="str">
        <v>2026-02-24</v>
      </c>
      <c r="P91" s="1" t="str">
        <v/>
      </c>
      <c r="Q91" s="1" t="str">
        <v/>
      </c>
      <c r="R91" s="1" t="str">
        <v>Pendiente de definicion</v>
      </c>
      <c r="S91" s="1" t="str">
        <v/>
      </c>
      <c r="T91" s="1" t="str">
        <v>No</v>
      </c>
      <c r="U91" s="1" t="str">
        <v>Gestión de Mora del Cliente</v>
      </c>
      <c r="V91" s="1" t="str">
        <v>Topaz</v>
      </c>
      <c r="W91" s="1" t="str">
        <v/>
      </c>
    </row>
    <row r="92">
      <c r="A92" s="1" t="str">
        <v>D0091</v>
      </c>
      <c r="B92" s="1" t="str">
        <v>Colombia</v>
      </c>
      <c r="C92" s="1" t="str">
        <v/>
      </c>
      <c r="D92" s="1" t="str">
        <v>Consultar datos del cliente</v>
      </c>
      <c r="E92" s="1" t="str">
        <v/>
      </c>
      <c r="F92" s="1" t="str">
        <v>SD</v>
      </c>
      <c r="G92" s="1" t="str">
        <v/>
      </c>
      <c r="H92" s="1" t="str">
        <v>Consumer Services</v>
      </c>
      <c r="I92" s="1" t="str">
        <v>Brokered Product</v>
      </c>
      <c r="J92" s="1" t="str">
        <v/>
      </c>
      <c r="K92" s="1" t="str">
        <v>REST</v>
      </c>
      <c r="L92" s="1" t="str">
        <v>APIM</v>
      </c>
      <c r="M92" s="1" t="str">
        <v/>
      </c>
      <c r="N92" s="1" t="str">
        <v>v1.0.0</v>
      </c>
      <c r="O92" s="1" t="str">
        <v>2026-02-24</v>
      </c>
      <c r="P92" s="1" t="str">
        <v/>
      </c>
      <c r="Q92" s="1" t="str">
        <v/>
      </c>
      <c r="R92" s="1" t="str">
        <v>Aprobado - reutilizacion</v>
      </c>
      <c r="S92" s="1" t="str">
        <v/>
      </c>
      <c r="T92" s="1" t="str">
        <v>No</v>
      </c>
      <c r="U92" s="1" t="str">
        <v>Gestión de Mora del Cliente</v>
      </c>
      <c r="V92" s="1" t="str">
        <v>Topaz</v>
      </c>
      <c r="W92" s="1" t="str">
        <v/>
      </c>
    </row>
    <row r="93">
      <c r="A93" s="1" t="str">
        <v>D0092</v>
      </c>
      <c r="B93" s="1" t="str">
        <v>Colombia</v>
      </c>
      <c r="C93" s="1" t="str">
        <v/>
      </c>
      <c r="D93" s="1" t="str">
        <v>Desestimada en el análisis detallado</v>
      </c>
      <c r="E93" s="1" t="str">
        <v/>
      </c>
      <c r="F93" s="1" t="str">
        <v>SD</v>
      </c>
      <c r="G93" s="1" t="str">
        <v/>
      </c>
      <c r="H93" s="1" t="str">
        <v>Cards</v>
      </c>
      <c r="I93" s="1" t="str">
        <v>Merchant Relations</v>
      </c>
      <c r="J93" s="1" t="str">
        <v/>
      </c>
      <c r="K93" s="1" t="str">
        <v>REST</v>
      </c>
      <c r="L93" s="1" t="str">
        <v>APIM</v>
      </c>
      <c r="M93" s="1" t="str">
        <v/>
      </c>
      <c r="N93" s="1" t="str">
        <v>v1.0.0</v>
      </c>
      <c r="O93" s="1" t="str">
        <v>2026-02-24</v>
      </c>
      <c r="P93" s="1" t="str">
        <v/>
      </c>
      <c r="Q93" s="1" t="str">
        <v/>
      </c>
      <c r="R93" s="1" t="str">
        <v>Pendiente de definicion</v>
      </c>
      <c r="S93" s="1" t="str">
        <v/>
      </c>
      <c r="T93" s="1" t="str">
        <v>No</v>
      </c>
      <c r="U93" s="1" t="str">
        <v>Gestión de Mora del Cliente</v>
      </c>
      <c r="V93" s="1" t="str">
        <v>Topaz</v>
      </c>
      <c r="W93" s="1" t="str">
        <v/>
      </c>
    </row>
    <row r="94">
      <c r="A94" s="1" t="str">
        <v>D0093</v>
      </c>
      <c r="B94" s="1" t="str">
        <v>Colombia</v>
      </c>
      <c r="C94" s="1" t="str">
        <v/>
      </c>
      <c r="D94" s="1" t="str">
        <v>Gestionar afiliación/desafiliación e interoperabilidad con CCE para transferencias y consultas de movimientos.</v>
      </c>
      <c r="E94" s="1" t="str">
        <v/>
      </c>
      <c r="F94" s="1" t="str">
        <v>SD</v>
      </c>
      <c r="G94" s="1" t="str">
        <v/>
      </c>
      <c r="H94" s="1" t="str">
        <v>External Agency</v>
      </c>
      <c r="I94" s="1" t="str">
        <v>Service Provider Operations</v>
      </c>
      <c r="J94" s="1" t="str">
        <v/>
      </c>
      <c r="K94" s="1" t="str">
        <v>REST</v>
      </c>
      <c r="L94" s="1" t="str">
        <v>APIM</v>
      </c>
      <c r="M94" s="1" t="str">
        <v/>
      </c>
      <c r="N94" s="1" t="str">
        <v>v1.0.0</v>
      </c>
      <c r="O94" s="1" t="str">
        <v>2026-02-24</v>
      </c>
      <c r="P94" s="1" t="str">
        <v/>
      </c>
      <c r="Q94" s="1" t="str">
        <v>CONCEPTOS DISRUPTIVOS - Ricardo Garmendia Mohanna</v>
      </c>
      <c r="R94" s="1" t="str">
        <v>Revisar - posible duplicado en backlog</v>
      </c>
      <c r="S94" s="1" t="str">
        <v/>
      </c>
      <c r="T94" s="1" t="str">
        <v>Sí</v>
      </c>
      <c r="U94" s="1" t="str">
        <v>TC - Implementar Neobanco</v>
      </c>
      <c r="V94" s="1" t="str">
        <v/>
      </c>
      <c r="W94" s="1" t="str">
        <v/>
      </c>
    </row>
    <row r="95">
      <c r="A95" s="1" t="str">
        <v>D0094</v>
      </c>
      <c r="B95" s="1" t="str">
        <v>Colombia</v>
      </c>
      <c r="C95" s="1" t="str">
        <v/>
      </c>
      <c r="D95" s="1" t="str">
        <v>Pago de Servicios</v>
      </c>
      <c r="E95" s="1" t="str">
        <v/>
      </c>
      <c r="F95" s="1" t="str">
        <v>SD</v>
      </c>
      <c r="G95" s="1" t="str">
        <v/>
      </c>
      <c r="H95" s="1" t="str">
        <v>Market Operations</v>
      </c>
      <c r="I95" s="1" t="str">
        <v>Custody Administration</v>
      </c>
      <c r="J95" s="1" t="str">
        <v/>
      </c>
      <c r="K95" s="1" t="str">
        <v>REST</v>
      </c>
      <c r="L95" s="1" t="str">
        <v>APIM</v>
      </c>
      <c r="M95" s="1" t="str">
        <v/>
      </c>
      <c r="N95" s="1" t="str">
        <v>v1.0.0</v>
      </c>
      <c r="O95" s="1" t="str">
        <v>2026-02-24</v>
      </c>
      <c r="P95" s="1" t="str">
        <v/>
      </c>
      <c r="Q95" s="1" t="str">
        <v/>
      </c>
      <c r="R95" s="1" t="str">
        <v>Aprobado - creacion nueva</v>
      </c>
      <c r="S95" s="1" t="str">
        <v/>
      </c>
      <c r="T95" s="1" t="str">
        <v>No</v>
      </c>
      <c r="U95" s="1" t="str">
        <v>TC - Implementar Neobanco</v>
      </c>
      <c r="V95" s="1" t="str">
        <v/>
      </c>
      <c r="W95" s="1" t="str">
        <v/>
      </c>
    </row>
    <row r="96">
      <c r="A96" s="1" t="str">
        <v>D0095</v>
      </c>
      <c r="B96" s="1" t="str">
        <v>Colombia</v>
      </c>
      <c r="C96" s="1" t="str">
        <v/>
      </c>
      <c r="D96" s="1" t="str">
        <v>Consulta y selección de servicios a pagar (familia, servicio, número de suministro).</v>
      </c>
      <c r="E96" s="1" t="str">
        <v/>
      </c>
      <c r="F96" s="1" t="str">
        <v>SD</v>
      </c>
      <c r="G96" s="1" t="str">
        <v/>
      </c>
      <c r="H96" s="1" t="str">
        <v>Document Management and Archive</v>
      </c>
      <c r="I96" s="1" t="str">
        <v>Document Directory</v>
      </c>
      <c r="J96" s="1" t="str">
        <v/>
      </c>
      <c r="K96" s="1" t="str">
        <v>REST</v>
      </c>
      <c r="L96" s="1" t="str">
        <v>APIM</v>
      </c>
      <c r="M96" s="1" t="str">
        <v/>
      </c>
      <c r="N96" s="1" t="str">
        <v>v1.0.0</v>
      </c>
      <c r="O96" s="1" t="str">
        <v>2026-02-24</v>
      </c>
      <c r="P96" s="1" t="str">
        <v/>
      </c>
      <c r="Q96" s="1" t="str">
        <v>CONCEPTOS DISRUPTIVOS - Ricardo Garmendia Mohanna</v>
      </c>
      <c r="R96" s="1" t="str">
        <v>Revisar - posible duplicado en backlog</v>
      </c>
      <c r="S96" s="1" t="str">
        <v/>
      </c>
      <c r="T96" s="1" t="str">
        <v>Sí</v>
      </c>
      <c r="U96" s="1" t="str">
        <v>TC - Implementar Neobanco</v>
      </c>
      <c r="V96" s="1" t="str">
        <v/>
      </c>
      <c r="W96" s="1" t="str">
        <v/>
      </c>
    </row>
    <row r="97">
      <c r="A97" s="1" t="str">
        <v>D0096</v>
      </c>
      <c r="B97" s="1" t="str">
        <v>Colombia</v>
      </c>
      <c r="C97" s="1" t="str">
        <v/>
      </c>
      <c r="D97" s="1" t="str">
        <v/>
      </c>
      <c r="E97" s="1" t="str">
        <v/>
      </c>
      <c r="F97" s="1" t="str">
        <v>SD</v>
      </c>
      <c r="G97" s="1" t="str">
        <v/>
      </c>
      <c r="H97" s="1" t="str">
        <v>Document Management and Archive</v>
      </c>
      <c r="I97" s="1" t="str">
        <v>Document Services</v>
      </c>
      <c r="J97" s="1" t="str">
        <v/>
      </c>
      <c r="K97" s="1" t="str">
        <v>REST</v>
      </c>
      <c r="L97" s="1" t="str">
        <v>APIM</v>
      </c>
      <c r="M97" s="1" t="str">
        <v/>
      </c>
      <c r="N97" s="1" t="str">
        <v>v1.0.0</v>
      </c>
      <c r="O97" s="1" t="str">
        <v>2026-02-24</v>
      </c>
      <c r="P97" s="1" t="str">
        <v/>
      </c>
      <c r="Q97" s="1" t="str">
        <v/>
      </c>
      <c r="R97" s="1" t="str">
        <v/>
      </c>
      <c r="S97" s="1" t="str">
        <v/>
      </c>
      <c r="T97" s="1" t="str">
        <v/>
      </c>
      <c r="U97" s="1" t="str">
        <v/>
      </c>
      <c r="V97" s="1" t="str">
        <v/>
      </c>
      <c r="W97" s="1" t="str">
        <v/>
      </c>
    </row>
    <row r="98">
      <c r="A98" s="1" t="str">
        <v>D0097</v>
      </c>
      <c r="B98" s="1" t="str">
        <v>Colombia</v>
      </c>
      <c r="C98" s="1" t="str">
        <v/>
      </c>
      <c r="D98" s="1" t="str">
        <v>Desembolso de linea de credito</v>
      </c>
      <c r="E98" s="1" t="str">
        <v/>
      </c>
      <c r="F98" s="1" t="str">
        <v>SD</v>
      </c>
      <c r="G98" s="1" t="str">
        <v/>
      </c>
      <c r="H98" s="1" t="str">
        <v>Operational Services</v>
      </c>
      <c r="I98" s="1" t="str">
        <v>Issued Device Administration</v>
      </c>
      <c r="J98" s="1" t="str">
        <v/>
      </c>
      <c r="K98" s="1" t="str">
        <v>REST</v>
      </c>
      <c r="L98" s="1" t="str">
        <v>APIM</v>
      </c>
      <c r="M98" s="1" t="str">
        <v/>
      </c>
      <c r="N98" s="1" t="str">
        <v>v1.0.0</v>
      </c>
      <c r="O98" s="1" t="str">
        <v>2026-02-24</v>
      </c>
      <c r="P98" s="1" t="str">
        <v/>
      </c>
      <c r="Q98" s="1" t="str">
        <v/>
      </c>
      <c r="R98" s="1" t="str">
        <v>Aprobado - creacion nueva</v>
      </c>
      <c r="S98" s="1" t="str">
        <v/>
      </c>
      <c r="T98" s="1" t="str">
        <v>No</v>
      </c>
      <c r="U98" s="1" t="str">
        <v>TC - Implementar Neobanco</v>
      </c>
      <c r="V98" s="1" t="str">
        <v/>
      </c>
      <c r="W98" s="1" t="str">
        <v/>
      </c>
    </row>
    <row r="99">
      <c r="A99" s="1" t="str">
        <v>D0098</v>
      </c>
      <c r="B99" s="1" t="str">
        <v>Colombia</v>
      </c>
      <c r="C99" s="1" t="str">
        <v/>
      </c>
      <c r="D99" s="1" t="str">
        <v/>
      </c>
      <c r="E99" s="1" t="str">
        <v/>
      </c>
      <c r="F99" s="1" t="str">
        <v>SD</v>
      </c>
      <c r="G99" s="1" t="str">
        <v/>
      </c>
      <c r="H99" s="1" t="str">
        <v>Operational Services</v>
      </c>
      <c r="I99" s="1" t="str">
        <v>Issued Device Tracking</v>
      </c>
      <c r="J99" s="1" t="str">
        <v/>
      </c>
      <c r="K99" s="1" t="str">
        <v>REST</v>
      </c>
      <c r="L99" s="1" t="str">
        <v>APIM</v>
      </c>
      <c r="M99" s="1" t="str">
        <v/>
      </c>
      <c r="N99" s="1" t="str">
        <v>v1.0.0</v>
      </c>
      <c r="O99" s="1" t="str">
        <v>2026-02-24</v>
      </c>
      <c r="P99" s="1" t="str">
        <v/>
      </c>
      <c r="Q99" s="1" t="str">
        <v/>
      </c>
      <c r="R99" s="1" t="str">
        <v/>
      </c>
      <c r="S99" s="1" t="str">
        <v/>
      </c>
      <c r="T99" s="1" t="str">
        <v/>
      </c>
      <c r="U99" s="1" t="str">
        <v/>
      </c>
      <c r="V99" s="1" t="str">
        <v/>
      </c>
      <c r="W99" s="1" t="str">
        <v/>
      </c>
    </row>
    <row r="100">
      <c r="A100" s="1" t="str">
        <v>D0099</v>
      </c>
      <c r="B100" s="1" t="str">
        <v>Perú</v>
      </c>
      <c r="C100" s="1" t="str">
        <v/>
      </c>
      <c r="D100" s="1" t="str">
        <v>Gestión de cobros, cargos y facturación asociados a productos financieros.</v>
      </c>
      <c r="E100" s="1" t="str">
        <v/>
      </c>
      <c r="F100" s="1" t="str">
        <v>SD</v>
      </c>
      <c r="G100" s="1" t="str">
        <v>Operations and Execution</v>
      </c>
      <c r="H100" s="1" t="str">
        <v>Operational Services</v>
      </c>
      <c r="I100" s="1" t="str">
        <v>Delinquent Account Handling</v>
      </c>
      <c r="J100" s="1" t="str">
        <v/>
      </c>
      <c r="K100" s="1" t="str">
        <v>REST</v>
      </c>
      <c r="L100" s="1" t="str">
        <v>APIM</v>
      </c>
      <c r="M100" s="1" t="str">
        <v/>
      </c>
      <c r="N100" s="1" t="str">
        <v>v1.0.0</v>
      </c>
      <c r="O100" s="1" t="str">
        <v>2026-06-02</v>
      </c>
      <c r="P100" s="1" t="str">
        <v>En Desarrollo</v>
      </c>
      <c r="Q100" s="1" t="str">
        <v>CONCEPTOS DISRUPTIVOS - Ricardo Garmendia Mohanna</v>
      </c>
      <c r="R100" s="1" t="str">
        <v>Revisar - posible duplicado en backlog</v>
      </c>
      <c r="S100" s="1" t="str">
        <v/>
      </c>
      <c r="T100" s="1" t="str">
        <v>Sí</v>
      </c>
      <c r="U100" s="1" t="str">
        <v>TC - Implementar Neobanco</v>
      </c>
      <c r="V100" s="1" t="str">
        <v/>
      </c>
      <c r="W100" s="1" t="str">
        <v/>
      </c>
    </row>
    <row r="101">
      <c r="A101" s="1" t="str">
        <v>D0100</v>
      </c>
      <c r="B101" s="1" t="str">
        <v>Perú</v>
      </c>
      <c r="C101" s="1" t="str">
        <v/>
      </c>
      <c r="D101" s="1" t="str">
        <v>Consulta de ofertas comerciales y productos elegibles para el cliente.</v>
      </c>
      <c r="E101" s="1" t="str">
        <v/>
      </c>
      <c r="F101" s="1" t="str">
        <v>SD</v>
      </c>
      <c r="G101" s="1" t="str">
        <v>Sales and Service</v>
      </c>
      <c r="H101" s="1" t="str">
        <v>Customer Management</v>
      </c>
      <c r="I101" s="1" t="str">
        <v>Account Recovery</v>
      </c>
      <c r="J101" s="1" t="str">
        <v/>
      </c>
      <c r="K101" s="1" t="str">
        <v>REST</v>
      </c>
      <c r="L101" s="1" t="str">
        <v>APIM</v>
      </c>
      <c r="M101" s="1" t="str">
        <v/>
      </c>
      <c r="N101" s="1" t="str">
        <v>v1.0.0</v>
      </c>
      <c r="O101" s="1" t="str">
        <v>2026-06-02</v>
      </c>
      <c r="P101" s="1" t="str">
        <v/>
      </c>
      <c r="Q101" s="1" t="str">
        <v>CONCEPTOS DISRUPTIVOS - Ricardo Garmendia Mohanna</v>
      </c>
      <c r="R101" s="1" t="str">
        <v>Revisar - posible duplicado en backlog</v>
      </c>
      <c r="S101" s="1" t="str">
        <v/>
      </c>
      <c r="T101" s="1" t="str">
        <v>Sí</v>
      </c>
      <c r="U101" s="1" t="str">
        <v>TC - Implementar Neobanco</v>
      </c>
      <c r="V101" s="1" t="str">
        <v/>
      </c>
      <c r="W101" s="1" t="str">
        <v/>
      </c>
    </row>
    <row r="102">
      <c r="A102" s="1" t="str">
        <v>D0101</v>
      </c>
      <c r="B102" s="1" t="str">
        <v>Perú</v>
      </c>
      <c r="C102" s="1" t="str">
        <v/>
      </c>
      <c r="D102" s="1" t="str">
        <v>Consulta de productos contratados, cuentas activas y detalle de préstamos.</v>
      </c>
      <c r="E102" s="1" t="str">
        <v/>
      </c>
      <c r="F102" s="1" t="str">
        <v>SD</v>
      </c>
      <c r="G102" s="1" t="str">
        <v>Operations and Execution</v>
      </c>
      <c r="H102" s="1" t="str">
        <v>Collateral Administration</v>
      </c>
      <c r="I102" s="1" t="str">
        <v>Collections</v>
      </c>
      <c r="J102" s="1" t="str">
        <v/>
      </c>
      <c r="K102" s="1" t="str">
        <v>REST</v>
      </c>
      <c r="L102" s="1" t="str">
        <v>APIM</v>
      </c>
      <c r="M102" s="1" t="str">
        <v/>
      </c>
      <c r="N102" s="1" t="str">
        <v>v1.0.0</v>
      </c>
      <c r="O102" s="1" t="str">
        <v>2026-06-02</v>
      </c>
      <c r="P102" s="1" t="str">
        <v/>
      </c>
      <c r="Q102" s="1" t="str">
        <v>CONCEPTOS DISRUPTIVOS - Ricardo Garmendia Mohanna</v>
      </c>
      <c r="R102" s="1" t="str">
        <v>Revisar - posible duplicado en backlog</v>
      </c>
      <c r="S102" s="1" t="str">
        <v/>
      </c>
      <c r="T102" s="1" t="str">
        <v>Sí</v>
      </c>
      <c r="U102" s="1" t="str">
        <v>TC - Implementar Neobanco</v>
      </c>
      <c r="V102" s="1" t="str">
        <v/>
      </c>
      <c r="W102" s="1" t="str">
        <v/>
      </c>
    </row>
    <row r="103">
      <c r="A103" s="1" t="str">
        <v>D0102</v>
      </c>
      <c r="B103" s="1" t="str">
        <v>Perú</v>
      </c>
      <c r="C103" s="1" t="str">
        <v/>
      </c>
      <c r="D103" s="1" t="str">
        <v/>
      </c>
      <c r="E103" s="1" t="str">
        <v/>
      </c>
      <c r="F103" s="1" t="str">
        <v>SD</v>
      </c>
      <c r="G103" s="1" t="str">
        <v>Sales and Service</v>
      </c>
      <c r="H103" s="1" t="str">
        <v>Cross Channel</v>
      </c>
      <c r="I103" s="1" t="str">
        <v>Session Dialogue</v>
      </c>
      <c r="J103" s="1" t="str">
        <v/>
      </c>
      <c r="K103" s="1" t="str">
        <v>REST</v>
      </c>
      <c r="L103" s="1" t="str">
        <v>APIM</v>
      </c>
      <c r="M103" s="1" t="str">
        <v/>
      </c>
      <c r="N103" s="1" t="str">
        <v>v1.0.0</v>
      </c>
      <c r="O103" s="1" t="str">
        <v>2026-06-02</v>
      </c>
      <c r="P103" s="1" t="str">
        <v/>
      </c>
      <c r="Q103" s="1" t="str">
        <v/>
      </c>
      <c r="R103" s="1" t="str">
        <v/>
      </c>
      <c r="S103" s="1" t="str">
        <v/>
      </c>
      <c r="T103" s="1" t="str">
        <v/>
      </c>
      <c r="U103" s="1" t="str">
        <v/>
      </c>
      <c r="V103" s="1" t="str">
        <v/>
      </c>
      <c r="W103" s="1" t="str">
        <v/>
      </c>
    </row>
    <row r="104">
      <c r="A104" s="1" t="str">
        <v>D0103</v>
      </c>
      <c r="B104" s="1" t="str">
        <v>Perú</v>
      </c>
      <c r="C104" s="1" t="str">
        <v/>
      </c>
      <c r="D104" s="1" t="str">
        <v>Generación y ejecución de desembolsos de crédito.</v>
      </c>
      <c r="E104" s="1" t="str">
        <v/>
      </c>
      <c r="F104" s="1" t="str">
        <v>SD</v>
      </c>
      <c r="G104" s="1" t="str">
        <v>Sales and Service</v>
      </c>
      <c r="H104" s="1" t="str">
        <v>Customer Management</v>
      </c>
      <c r="I104" s="1" t="str">
        <v>Customer Behavior Insights</v>
      </c>
      <c r="J104" s="1" t="str">
        <v/>
      </c>
      <c r="K104" s="1" t="str">
        <v>REST</v>
      </c>
      <c r="L104" s="1" t="str">
        <v>APIM</v>
      </c>
      <c r="M104" s="1" t="str">
        <v/>
      </c>
      <c r="N104" s="1" t="str">
        <v>v1.0.0</v>
      </c>
      <c r="O104" s="1" t="str">
        <v>2026-06-02</v>
      </c>
      <c r="P104" s="1" t="str">
        <v/>
      </c>
      <c r="Q104" s="1" t="str">
        <v>CONCEPTOS DISRUPTIVOS - Ricardo Garmendia Mohanna</v>
      </c>
      <c r="R104" s="1" t="str">
        <v>Revisar - posible duplicado en backlog</v>
      </c>
      <c r="S104" s="1" t="str">
        <v/>
      </c>
      <c r="T104" s="1" t="str">
        <v>Sí</v>
      </c>
      <c r="U104" s="1" t="str">
        <v>TC - Implementar Neobanco</v>
      </c>
      <c r="V104" s="1" t="str">
        <v/>
      </c>
      <c r="W104" s="1" t="str">
        <v/>
      </c>
    </row>
    <row r="105">
      <c r="A105" s="1" t="str">
        <v>D0104</v>
      </c>
      <c r="B105" s="1" t="str">
        <v>Perú</v>
      </c>
      <c r="C105" s="1" t="str">
        <v/>
      </c>
      <c r="D105" s="1" t="str">
        <v>Gestión de descuentos y condiciones preferenciales de precios.</v>
      </c>
      <c r="E105" s="1" t="str">
        <v/>
      </c>
      <c r="F105" s="1" t="str">
        <v>SD</v>
      </c>
      <c r="G105" s="1" t="str">
        <v>Risk and Compliance</v>
      </c>
      <c r="H105" s="1" t="str">
        <v>Models</v>
      </c>
      <c r="I105" s="1" t="str">
        <v>Customer Behavior Models</v>
      </c>
      <c r="J105" s="1" t="str">
        <v/>
      </c>
      <c r="K105" s="1" t="str">
        <v>REST</v>
      </c>
      <c r="L105" s="1" t="str">
        <v>APIM</v>
      </c>
      <c r="M105" s="1" t="str">
        <v/>
      </c>
      <c r="N105" s="1" t="str">
        <v>v1.0.0</v>
      </c>
      <c r="O105" s="1" t="str">
        <v>2026-06-02</v>
      </c>
      <c r="P105" s="1" t="str">
        <v/>
      </c>
      <c r="Q105" s="1" t="str">
        <v>CONCEPTOS DISRUPTIVOS - Ricardo Garmendia Mohanna</v>
      </c>
      <c r="R105" s="1" t="str">
        <v>Revisar - ya existe en catalogo BIAN, evaluar reutilizacion</v>
      </c>
      <c r="S105" s="1" t="str">
        <v/>
      </c>
      <c r="T105" s="1" t="str">
        <v>No</v>
      </c>
      <c r="U105" s="1" t="str">
        <v>TC - Implementar Neobanco</v>
      </c>
      <c r="V105" s="1" t="str">
        <v/>
      </c>
      <c r="W105" s="1" t="str">
        <v/>
      </c>
    </row>
    <row r="106">
      <c r="A106" s="1" t="str">
        <v>D0105</v>
      </c>
      <c r="B106" s="1" t="str">
        <v>Perú</v>
      </c>
      <c r="C106" s="1" t="str">
        <v/>
      </c>
      <c r="D106" s="1" t="str">
        <v>Evaluación de fraude y riesgo antes de ejecutar transacciones.</v>
      </c>
      <c r="E106" s="1" t="str">
        <v/>
      </c>
      <c r="F106" s="1" t="str">
        <v>SD</v>
      </c>
      <c r="G106" s="1" t="str">
        <v>Reference Data</v>
      </c>
      <c r="H106" s="1" t="str">
        <v>Product Management</v>
      </c>
      <c r="I106" s="1" t="str">
        <v>Product Design</v>
      </c>
      <c r="J106" s="1" t="str">
        <v/>
      </c>
      <c r="K106" s="1" t="str">
        <v>REST</v>
      </c>
      <c r="L106" s="1" t="str">
        <v>APIM</v>
      </c>
      <c r="M106" s="1" t="str">
        <v/>
      </c>
      <c r="N106" s="1" t="str">
        <v>v1.0.0</v>
      </c>
      <c r="O106" s="1" t="str">
        <v>2026-06-02</v>
      </c>
      <c r="P106" s="1" t="str">
        <v/>
      </c>
      <c r="Q106" s="1" t="str">
        <v>CONCEPTOS DISRUPTIVOS - Ricardo Garmendia Mohanna</v>
      </c>
      <c r="R106" s="1" t="str">
        <v>Revisar - posible duplicado en backlog</v>
      </c>
      <c r="S106" s="1" t="str">
        <v/>
      </c>
      <c r="T106" s="1" t="str">
        <v>Sí</v>
      </c>
      <c r="U106" s="1" t="str">
        <v>TC - Implementar Neobanco</v>
      </c>
      <c r="V106" s="1" t="str">
        <v/>
      </c>
      <c r="W106" s="1" t="str">
        <v/>
      </c>
    </row>
    <row r="107">
      <c r="A107" s="1" t="str">
        <v>D0106</v>
      </c>
      <c r="B107" s="1" t="str">
        <v>Perú</v>
      </c>
      <c r="C107" s="1" t="str">
        <v/>
      </c>
      <c r="D107" s="1" t="str">
        <v>Transferencias inmediatas</v>
      </c>
      <c r="E107" s="1" t="str">
        <v/>
      </c>
      <c r="F107" s="1" t="str">
        <v>SD</v>
      </c>
      <c r="G107" s="1" t="str">
        <v>Reference Data</v>
      </c>
      <c r="H107" s="1" t="str">
        <v>Product Management</v>
      </c>
      <c r="I107" s="1" t="str">
        <v>Product Deployment</v>
      </c>
      <c r="J107" s="1" t="str">
        <v/>
      </c>
      <c r="K107" s="1" t="str">
        <v>REST</v>
      </c>
      <c r="L107" s="1" t="str">
        <v>APIM</v>
      </c>
      <c r="M107" s="1" t="str">
        <v/>
      </c>
      <c r="N107" s="1" t="str">
        <v>v1.0.0</v>
      </c>
      <c r="O107" s="1" t="str">
        <v>2026-06-02</v>
      </c>
      <c r="P107" s="1" t="str">
        <v/>
      </c>
      <c r="Q107" s="1" t="str">
        <v/>
      </c>
      <c r="R107" s="1" t="str">
        <v>Aprobado - creacion nueva</v>
      </c>
      <c r="S107" s="1" t="str">
        <v/>
      </c>
      <c r="T107" s="1" t="str">
        <v>No</v>
      </c>
      <c r="U107" s="1" t="str">
        <v>TC - Implementar Neobanco</v>
      </c>
      <c r="V107" s="1" t="str">
        <v/>
      </c>
      <c r="W107" s="1" t="str">
        <v/>
      </c>
    </row>
    <row r="108">
      <c r="A108" s="1" t="str">
        <v>D0107</v>
      </c>
      <c r="B108" s="1" t="str">
        <v>Perú</v>
      </c>
      <c r="C108" s="1" t="str">
        <v/>
      </c>
      <c r="D108" s="1" t="str">
        <v>Gestión de prospectos y oportunidades comerciales para originación.</v>
      </c>
      <c r="E108" s="1" t="str">
        <v/>
      </c>
      <c r="F108" s="1" t="str">
        <v>SD</v>
      </c>
      <c r="G108" s="1" t="str">
        <v>Sales and Service</v>
      </c>
      <c r="H108" s="1" t="str">
        <v>Sales</v>
      </c>
      <c r="I108" s="1" t="str">
        <v>Commissions</v>
      </c>
      <c r="J108" s="1" t="str">
        <v/>
      </c>
      <c r="K108" s="1" t="str">
        <v>REST</v>
      </c>
      <c r="L108" s="1" t="str">
        <v>APIM</v>
      </c>
      <c r="M108" s="1" t="str">
        <v/>
      </c>
      <c r="N108" s="1" t="str">
        <v>v1.0.0</v>
      </c>
      <c r="O108" s="1" t="str">
        <v>2026-06-02</v>
      </c>
      <c r="P108" s="1" t="str">
        <v/>
      </c>
      <c r="Q108" s="1" t="str">
        <v>CONCEPTOS DISRUPTIVOS - Ricardo Garmendia Mohanna</v>
      </c>
      <c r="R108" s="1" t="str">
        <v>Revisar - posible duplicado en backlog</v>
      </c>
      <c r="S108" s="1" t="str">
        <v/>
      </c>
      <c r="T108" s="1" t="str">
        <v>Sí</v>
      </c>
      <c r="U108" s="1" t="str">
        <v>TC - Implementar Neobanco</v>
      </c>
      <c r="V108" s="1" t="str">
        <v/>
      </c>
      <c r="W108" s="1" t="str">
        <v/>
      </c>
    </row>
    <row r="109">
      <c r="A109" s="1" t="str">
        <v>D0108</v>
      </c>
      <c r="B109" s="1" t="str">
        <v>Perú</v>
      </c>
      <c r="C109" s="1" t="str">
        <v/>
      </c>
      <c r="D109" s="1" t="str">
        <v>Consulta y gestión del ciclo de vida de préstamos.</v>
      </c>
      <c r="E109" s="1" t="str">
        <v/>
      </c>
      <c r="F109" s="1" t="str">
        <v>SD</v>
      </c>
      <c r="G109" s="1" t="str">
        <v>Products</v>
      </c>
      <c r="H109" s="1" t="str">
        <v>Loans and Deposits</v>
      </c>
      <c r="I109" s="1" t="str">
        <v>Term Deposit</v>
      </c>
      <c r="J109" s="1" t="str">
        <v/>
      </c>
      <c r="K109" s="1" t="str">
        <v>REST</v>
      </c>
      <c r="L109" s="1" t="str">
        <v>APIM</v>
      </c>
      <c r="M109" s="1" t="str">
        <v/>
      </c>
      <c r="N109" s="1" t="str">
        <v>v1.0.0</v>
      </c>
      <c r="O109" s="1" t="str">
        <v>2026-06-09</v>
      </c>
      <c r="P109" s="1" t="str">
        <v>En Desarrollo</v>
      </c>
      <c r="Q109" s="1" t="str">
        <v>CONCEPTOS DISRUPTIVOS - Ricardo Garmendia Mohanna</v>
      </c>
      <c r="R109" s="1" t="str">
        <v>Revisar - posible duplicado en backlog</v>
      </c>
      <c r="S109" s="1" t="str">
        <v/>
      </c>
      <c r="T109" s="1" t="str">
        <v>Sí</v>
      </c>
      <c r="U109" s="1" t="str">
        <v>TC - Implementar Neobanco</v>
      </c>
      <c r="V109" s="1" t="str">
        <v/>
      </c>
      <c r="W109" s="1" t="str">
        <v/>
      </c>
    </row>
    <row r="110">
      <c r="A110" s="1" t="str">
        <v>D0109</v>
      </c>
      <c r="B110" s="1" t="str">
        <v>Perú</v>
      </c>
      <c r="C110" s="1" t="str">
        <v/>
      </c>
      <c r="D110" s="1" t="str">
        <v>Pago de prestamo</v>
      </c>
      <c r="E110" s="1" t="str">
        <v/>
      </c>
      <c r="F110" s="1" t="str">
        <v>SD</v>
      </c>
      <c r="G110" s="1" t="str">
        <v>Products</v>
      </c>
      <c r="H110" s="1" t="str">
        <v>Consumer Services</v>
      </c>
      <c r="I110" s="1" t="str">
        <v>Currency Exchange</v>
      </c>
      <c r="J110" s="1" t="str">
        <v/>
      </c>
      <c r="K110" s="1" t="str">
        <v>REST</v>
      </c>
      <c r="L110" s="1" t="str">
        <v>APIM</v>
      </c>
      <c r="M110" s="1" t="str">
        <v/>
      </c>
      <c r="N110" s="1" t="str">
        <v>v1.0.0</v>
      </c>
      <c r="O110" s="1" t="str">
        <v>2026-06-10</v>
      </c>
      <c r="P110" s="1" t="str">
        <v>En Desarrollo</v>
      </c>
      <c r="Q110" s="1" t="str">
        <v/>
      </c>
      <c r="R110" s="1" t="str">
        <v>Aprobado - creacion nueva</v>
      </c>
      <c r="S110" s="1" t="str">
        <v/>
      </c>
      <c r="T110" s="1" t="str">
        <v>No</v>
      </c>
      <c r="U110" s="1" t="str">
        <v>TC - Implementar Neobanco</v>
      </c>
      <c r="V110" s="1" t="str">
        <v/>
      </c>
      <c r="W110" s="1" t="str">
        <v/>
      </c>
    </row>
    <row r="111">
      <c r="A111" s="1" t="str">
        <v>D0110</v>
      </c>
      <c r="B111" s="1" t="str">
        <v>Perú</v>
      </c>
      <c r="C111" s="1" t="str">
        <v/>
      </c>
      <c r="D111" s="1" t="str">
        <v>Autenticación y validación de identidad del cliente.</v>
      </c>
      <c r="E111" s="1" t="str">
        <v/>
      </c>
      <c r="F111" s="1" t="str">
        <v>SD</v>
      </c>
      <c r="G111" s="1" t="str">
        <v>Sales and Service</v>
      </c>
      <c r="H111" s="1" t="str">
        <v>Customer Management</v>
      </c>
      <c r="I111" s="1" t="str">
        <v>Customer Event History</v>
      </c>
      <c r="J111" s="1" t="str">
        <v/>
      </c>
      <c r="K111" s="1" t="str">
        <v>REST</v>
      </c>
      <c r="L111" s="1" t="str">
        <v>APIM</v>
      </c>
      <c r="M111" s="1" t="str">
        <v/>
      </c>
      <c r="N111" s="1" t="str">
        <v>v1.0.0</v>
      </c>
      <c r="O111" s="1" t="str">
        <v>2026-06-05</v>
      </c>
      <c r="P111" s="1" t="str">
        <v>En Desarrollo</v>
      </c>
      <c r="Q111" s="1" t="str">
        <v>CONCEPTOS DISRUPTIVOS - Ricardo Garmendia Mohanna</v>
      </c>
      <c r="R111" s="1" t="str">
        <v>Revisar - posible duplicado en backlog</v>
      </c>
      <c r="S111" s="1" t="str">
        <v/>
      </c>
      <c r="T111" s="1" t="str">
        <v>Sí</v>
      </c>
      <c r="U111" s="1" t="str">
        <v>TC - Implementar Neobanco</v>
      </c>
      <c r="V111" s="1" t="str">
        <v/>
      </c>
      <c r="W111" s="1" t="str">
        <v/>
      </c>
    </row>
    <row r="112">
      <c r="A112" s="1" t="str">
        <v>D0111</v>
      </c>
      <c r="B112" s="1" t="str">
        <v>Perú</v>
      </c>
      <c r="C112" s="1" t="str">
        <v/>
      </c>
      <c r="D112" s="1" t="str">
        <v>Consulta de billeteras, teléfonos, cuentas y datos referenciales del cliente.</v>
      </c>
      <c r="E112" s="1" t="str">
        <v/>
      </c>
      <c r="F112" s="1" t="str">
        <v>SD</v>
      </c>
      <c r="G112" s="1" t="str">
        <v>Operations and Execution</v>
      </c>
      <c r="H112" s="1" t="str">
        <v>Collateral Administration</v>
      </c>
      <c r="I112" s="1" t="str">
        <v>Collateral Asset Administration</v>
      </c>
      <c r="J112" s="1" t="str">
        <v/>
      </c>
      <c r="K112" s="1" t="str">
        <v>REST</v>
      </c>
      <c r="L112" s="1" t="str">
        <v>APIM</v>
      </c>
      <c r="M112" s="1" t="str">
        <v/>
      </c>
      <c r="N112" s="1" t="str">
        <v>v1.0.0</v>
      </c>
      <c r="O112" s="1" t="str">
        <v>2026-06-05</v>
      </c>
      <c r="P112" s="1" t="str">
        <v>En Desarrollo</v>
      </c>
      <c r="Q112" s="1" t="str">
        <v>CONCEPTOS DISRUPTIVOS - Ricardo Garmendia Mohanna</v>
      </c>
      <c r="R112" s="1" t="str">
        <v>Revisar - posible duplicado en backlog</v>
      </c>
      <c r="S112" s="1" t="str">
        <v/>
      </c>
      <c r="T112" s="1" t="str">
        <v>Sí</v>
      </c>
      <c r="U112" s="1" t="str">
        <v>TC - Implementar Neobanco</v>
      </c>
      <c r="V112" s="1" t="str">
        <v/>
      </c>
      <c r="W112" s="1" t="str">
        <v/>
      </c>
    </row>
    <row r="113">
      <c r="A113" s="1" t="str">
        <v>D0112</v>
      </c>
      <c r="B113" s="1" t="str">
        <v>Perú</v>
      </c>
      <c r="C113" s="1" t="str">
        <v/>
      </c>
      <c r="D113" s="1" t="str">
        <v>Ejecución contable final de pagos y transferencias.</v>
      </c>
      <c r="E113" s="1" t="str">
        <v/>
      </c>
      <c r="F113" s="1" t="str">
        <v>SD</v>
      </c>
      <c r="G113" s="1" t="str">
        <v>Reference Data</v>
      </c>
      <c r="H113" s="1" t="str">
        <v>External Agency</v>
      </c>
      <c r="I113" s="1" t="str">
        <v>Information Provider Administration</v>
      </c>
      <c r="J113" s="1" t="str">
        <v/>
      </c>
      <c r="K113" s="1" t="str">
        <v>REST</v>
      </c>
      <c r="L113" s="1" t="str">
        <v>APIM</v>
      </c>
      <c r="M113" s="1" t="str">
        <v/>
      </c>
      <c r="N113" s="1" t="str">
        <v>v1.0.0</v>
      </c>
      <c r="O113" s="1" t="str">
        <v>2026-06-03</v>
      </c>
      <c r="P113" s="1" t="str">
        <v>En Desarrollo</v>
      </c>
      <c r="Q113" s="1" t="str">
        <v>CONCEPTOS DISRUPTIVOS - Ricardo Garmendia Mohanna</v>
      </c>
      <c r="R113" s="1" t="str">
        <v>Revisar - posible duplicado en backlog</v>
      </c>
      <c r="S113" s="1" t="str">
        <v/>
      </c>
      <c r="T113" s="1" t="str">
        <v>Sí</v>
      </c>
      <c r="U113" s="1" t="str">
        <v>TC - Implementar Neobanco</v>
      </c>
      <c r="V113" s="1" t="str">
        <v/>
      </c>
      <c r="W113" s="1" t="str">
        <v/>
      </c>
    </row>
    <row r="114">
      <c r="A114" s="1" t="str">
        <v>D0113</v>
      </c>
      <c r="B114" s="1" t="str">
        <v>Perú</v>
      </c>
      <c r="C114" s="1" t="str">
        <v/>
      </c>
      <c r="D114" s="1" t="str">
        <v>Inicio y registro del proceso de pago.</v>
      </c>
      <c r="E114" s="1" t="str">
        <v/>
      </c>
      <c r="F114" s="1" t="str">
        <v>SD</v>
      </c>
      <c r="G114" s="1" t="str">
        <v>Sales and Service</v>
      </c>
      <c r="H114" s="1" t="str">
        <v>Sales</v>
      </c>
      <c r="I114" s="1" t="str">
        <v>Customer Credit Rating</v>
      </c>
      <c r="J114" s="1" t="str">
        <v/>
      </c>
      <c r="K114" s="1" t="str">
        <v>REST</v>
      </c>
      <c r="L114" s="1" t="str">
        <v>APIM</v>
      </c>
      <c r="M114" s="1" t="str">
        <v/>
      </c>
      <c r="N114" s="1" t="str">
        <v>v1.0.0</v>
      </c>
      <c r="O114" s="1" t="str">
        <v>2026-07-07</v>
      </c>
      <c r="P114" s="1" t="str">
        <v>En Desarrollo</v>
      </c>
      <c r="Q114" s="1" t="str">
        <v>CONCEPTOS DISRUPTIVOS - Ricardo Garmendia Mohanna</v>
      </c>
      <c r="R114" s="1" t="str">
        <v>Revisar - posible duplicado en backlog</v>
      </c>
      <c r="S114" s="1" t="str">
        <v/>
      </c>
      <c r="T114" s="1" t="str">
        <v>Sí</v>
      </c>
      <c r="U114" s="1" t="str">
        <v>TC - Implementar Neobanco</v>
      </c>
      <c r="V114" s="1" t="str">
        <v/>
      </c>
      <c r="W114" s="1" t="str">
        <v/>
      </c>
    </row>
    <row r="115">
      <c r="A115" s="1" t="str">
        <v>D0115</v>
      </c>
      <c r="B115" s="1" t="str">
        <v>Perú</v>
      </c>
      <c r="C115" s="1" t="str">
        <v/>
      </c>
      <c r="D115" s="1" t="str">
        <v/>
      </c>
      <c r="E115" s="1" t="str">
        <v/>
      </c>
      <c r="F115" s="1" t="str">
        <v>EXP</v>
      </c>
      <c r="G115" s="1" t="str">
        <v/>
      </c>
      <c r="H115" s="1" t="str">
        <v/>
      </c>
      <c r="I115" s="1" t="str">
        <v>Servicing Order</v>
      </c>
      <c r="J115" s="1" t="str">
        <v/>
      </c>
      <c r="K115" s="1" t="str">
        <v>REST</v>
      </c>
      <c r="L115" s="1" t="str">
        <v>APIM</v>
      </c>
      <c r="M115" s="1" t="str">
        <v/>
      </c>
      <c r="N115" s="1" t="str">
        <v>v1.0.0</v>
      </c>
      <c r="O115" s="1" t="str">
        <v>2026-06-24</v>
      </c>
      <c r="P115" s="1" t="str">
        <v>Activa</v>
      </c>
      <c r="Q115" s="1" t="str">
        <v/>
      </c>
      <c r="R115" s="1" t="str">
        <v/>
      </c>
      <c r="S115" s="1" t="str">
        <v/>
      </c>
      <c r="T115" s="1" t="str">
        <v/>
      </c>
      <c r="U115" s="1" t="str">
        <v/>
      </c>
      <c r="V115" s="1" t="str">
        <v/>
      </c>
      <c r="W115" s="1" t="str">
        <v/>
      </c>
    </row>
    <row r="116">
      <c r="A116" s="1" t="str">
        <v>D0116</v>
      </c>
      <c r="B116" s="1" t="str">
        <v>Perú</v>
      </c>
      <c r="C116" s="1" t="str">
        <v/>
      </c>
      <c r="D116" s="1" t="str">
        <v/>
      </c>
      <c r="E116" s="1" t="str">
        <v/>
      </c>
      <c r="F116" s="1" t="str">
        <v>BS</v>
      </c>
      <c r="G116" s="1" t="str">
        <v/>
      </c>
      <c r="H116" s="1" t="str">
        <v/>
      </c>
      <c r="I116" s="1" t="str">
        <v>Servicing Order</v>
      </c>
      <c r="J116" s="1" t="str">
        <v/>
      </c>
      <c r="K116" s="1" t="str">
        <v>REST</v>
      </c>
      <c r="L116" s="1" t="str">
        <v>APIM</v>
      </c>
      <c r="M116" s="1" t="str">
        <v/>
      </c>
      <c r="N116" s="1" t="str">
        <v>v1.0.0</v>
      </c>
      <c r="O116" s="1" t="str">
        <v>2026-06-24</v>
      </c>
      <c r="P116" s="1" t="str">
        <v>Activa</v>
      </c>
      <c r="Q116" s="1" t="str">
        <v/>
      </c>
      <c r="R116" s="1" t="str">
        <v/>
      </c>
      <c r="S116" s="1" t="str">
        <v/>
      </c>
      <c r="T116" s="1" t="str">
        <v/>
      </c>
      <c r="U116" s="1" t="str">
        <v/>
      </c>
      <c r="V116" s="1" t="str">
        <v/>
      </c>
      <c r="W116" s="1" t="str">
        <v/>
      </c>
    </row>
    <row r="117">
      <c r="A117" s="1" t="str">
        <v>D0117</v>
      </c>
      <c r="B117" s="1" t="str">
        <v>Perú</v>
      </c>
      <c r="C117" s="1" t="str">
        <v/>
      </c>
      <c r="D117" s="1" t="str">
        <v>Consulta del catálogo de productos financieros.</v>
      </c>
      <c r="E117" s="1" t="str">
        <v/>
      </c>
      <c r="F117" s="1" t="str">
        <v>EXP</v>
      </c>
      <c r="G117" s="1" t="str">
        <v/>
      </c>
      <c r="H117" s="1" t="str">
        <v/>
      </c>
      <c r="I117" s="1" t="str">
        <v>Consumer Loan</v>
      </c>
      <c r="J117" s="1" t="str">
        <v/>
      </c>
      <c r="K117" s="1" t="str">
        <v>REST</v>
      </c>
      <c r="L117" s="1" t="str">
        <v>APIM</v>
      </c>
      <c r="M117" s="1" t="str">
        <v/>
      </c>
      <c r="N117" s="1" t="str">
        <v>v1.0.0</v>
      </c>
      <c r="O117" s="1" t="str">
        <v>2026-06-24</v>
      </c>
      <c r="P117" s="1" t="str">
        <v>Activa</v>
      </c>
      <c r="Q117" s="1" t="str">
        <v>CONCEPTOS DISRUPTIVOS - Ricardo Garmendia Mohanna</v>
      </c>
      <c r="R117" s="1" t="str">
        <v>Revisar - posible duplicado en backlog</v>
      </c>
      <c r="S117" s="1" t="str">
        <v/>
      </c>
      <c r="T117" s="1" t="str">
        <v>Sí</v>
      </c>
      <c r="U117" s="1" t="str">
        <v>TC - Implementar Neobanco</v>
      </c>
      <c r="V117" s="1" t="str">
        <v/>
      </c>
      <c r="W117" s="1" t="str">
        <v/>
      </c>
    </row>
    <row r="118">
      <c r="A118" s="1" t="str">
        <v>D0118</v>
      </c>
      <c r="B118" s="1" t="str">
        <v>Perú</v>
      </c>
      <c r="C118" s="1" t="str">
        <v/>
      </c>
      <c r="D118" s="1" t="str">
        <v>Simulacion de creditos</v>
      </c>
      <c r="E118" s="1" t="str">
        <v/>
      </c>
      <c r="F118" s="1" t="str">
        <v>BS</v>
      </c>
      <c r="G118" s="1" t="str">
        <v/>
      </c>
      <c r="H118" s="1" t="str">
        <v/>
      </c>
      <c r="I118" s="1" t="str">
        <v>Consumer Loan</v>
      </c>
      <c r="J118" s="1" t="str">
        <v/>
      </c>
      <c r="K118" s="1" t="str">
        <v>REST</v>
      </c>
      <c r="L118" s="1" t="str">
        <v>APIM</v>
      </c>
      <c r="M118" s="1" t="str">
        <v/>
      </c>
      <c r="N118" s="1" t="str">
        <v>v1.0.0</v>
      </c>
      <c r="O118" s="1" t="str">
        <v>2026-06-24</v>
      </c>
      <c r="P118" s="1" t="str">
        <v>Activa</v>
      </c>
      <c r="Q118" s="1" t="str">
        <v/>
      </c>
      <c r="R118" s="1" t="str">
        <v>Aprobado - creacion nueva</v>
      </c>
      <c r="S118" s="1" t="str">
        <v/>
      </c>
      <c r="T118" s="1" t="str">
        <v>No</v>
      </c>
      <c r="U118" s="1" t="str">
        <v>TC - Implementar Neobanco</v>
      </c>
      <c r="V118" s="1" t="str">
        <v/>
      </c>
      <c r="W118" s="1" t="str">
        <v/>
      </c>
    </row>
    <row r="119">
      <c r="A119" s="1" t="str">
        <v>D0119</v>
      </c>
      <c r="B119" s="1" t="str">
        <v>Perú</v>
      </c>
      <c r="C119" s="1" t="str">
        <v/>
      </c>
      <c r="D119" s="1" t="str">
        <v>Consulta de saldo, movimientos y ejecución de cargos/abonos sobre cuentas de ahorro.</v>
      </c>
      <c r="E119" s="1" t="str">
        <v/>
      </c>
      <c r="F119" s="1" t="str">
        <v>BS</v>
      </c>
      <c r="G119" s="1" t="str">
        <v/>
      </c>
      <c r="H119" s="1" t="str">
        <v/>
      </c>
      <c r="I119" s="1" t="str">
        <v>Saving Account</v>
      </c>
      <c r="J119" s="1" t="str">
        <v/>
      </c>
      <c r="K119" s="1" t="str">
        <v>REST</v>
      </c>
      <c r="L119" s="1" t="str">
        <v>APIM</v>
      </c>
      <c r="M119" s="1" t="str">
        <v/>
      </c>
      <c r="N119" s="1" t="str">
        <v>v1.0.0</v>
      </c>
      <c r="O119" s="1" t="str">
        <v>2026-06-24</v>
      </c>
      <c r="P119" s="1" t="str">
        <v>Activa</v>
      </c>
      <c r="Q119" s="1" t="str">
        <v>CONCEPTOS DISRUPTIVOS - Ricardo Garmendia Mohanna</v>
      </c>
      <c r="R119" s="1" t="str">
        <v>Revisar - posible duplicado en backlog</v>
      </c>
      <c r="S119" s="1" t="str">
        <v/>
      </c>
      <c r="T119" s="1" t="str">
        <v>Sí</v>
      </c>
      <c r="U119" s="1" t="str">
        <v>TC - Implementar Neobanco</v>
      </c>
      <c r="V119" s="1" t="str">
        <v/>
      </c>
      <c r="W119" s="1" t="str">
        <v/>
      </c>
    </row>
    <row r="120">
      <c r="A120" s="1" t="str">
        <v>D0120</v>
      </c>
      <c r="B120" s="1" t="str">
        <v>Perú</v>
      </c>
      <c r="C120" s="1" t="str">
        <v/>
      </c>
      <c r="D120" s="1" t="str">
        <v/>
      </c>
      <c r="E120" s="1" t="str">
        <v/>
      </c>
      <c r="F120" s="1" t="str">
        <v>BS</v>
      </c>
      <c r="G120" s="1" t="str">
        <v/>
      </c>
      <c r="H120" s="1" t="str">
        <v/>
      </c>
      <c r="I120" s="1" t="str">
        <v>Consumer Loan</v>
      </c>
      <c r="J120" s="1" t="str">
        <v/>
      </c>
      <c r="K120" s="1" t="str">
        <v>REST</v>
      </c>
      <c r="L120" s="1" t="str">
        <v>APIM</v>
      </c>
      <c r="M120" s="1" t="str">
        <v/>
      </c>
      <c r="N120" s="1" t="str">
        <v>v1.0.0</v>
      </c>
      <c r="O120" s="1" t="str">
        <v>2026-06-24</v>
      </c>
      <c r="P120" s="1" t="str">
        <v>Activa</v>
      </c>
      <c r="Q120" s="1" t="str">
        <v/>
      </c>
      <c r="R120" s="1" t="str">
        <v/>
      </c>
      <c r="S120" s="1" t="str">
        <v/>
      </c>
      <c r="T120" s="1" t="str">
        <v/>
      </c>
      <c r="U120" s="1" t="str">
        <v/>
      </c>
      <c r="V120" s="1" t="str">
        <v/>
      </c>
      <c r="W120" s="1" t="str">
        <v/>
      </c>
    </row>
    <row r="121">
      <c r="A121" s="1" t="str">
        <v>D0121</v>
      </c>
      <c r="B121" s="1" t="str">
        <v>Perú</v>
      </c>
      <c r="C121" s="1" t="str">
        <v/>
      </c>
      <c r="D121" s="1" t="str">
        <v/>
      </c>
      <c r="E121" s="1" t="str">
        <v/>
      </c>
      <c r="F121" s="1" t="str">
        <v>BS</v>
      </c>
      <c r="G121" s="1" t="str">
        <v>Operations</v>
      </c>
      <c r="H121" s="1" t="str">
        <v>Account Management</v>
      </c>
      <c r="I121" s="1" t="str">
        <v>Deteccion Fraude</v>
      </c>
      <c r="J121" s="1" t="str">
        <v/>
      </c>
      <c r="K121" s="1" t="str">
        <v>REST</v>
      </c>
      <c r="L121" s="1" t="str">
        <v>APIM</v>
      </c>
      <c r="M121" s="1" t="str">
        <v/>
      </c>
      <c r="N121" s="1" t="str">
        <v>v1.0.0</v>
      </c>
      <c r="O121" s="1" t="str">
        <v>2026-06-25</v>
      </c>
      <c r="P121" s="1" t="str">
        <v>Activa</v>
      </c>
      <c r="Q121" s="1" t="str">
        <v/>
      </c>
      <c r="R121" s="1" t="str">
        <v/>
      </c>
      <c r="S121" s="1" t="str">
        <v/>
      </c>
      <c r="T121" s="1" t="str">
        <v/>
      </c>
      <c r="U121" s="1" t="str">
        <v/>
      </c>
      <c r="V121" s="1" t="str">
        <v/>
      </c>
      <c r="W121" s="1" t="str">
        <v/>
      </c>
    </row>
    <row r="122">
      <c r="A122" s="1" t="str">
        <v>D0122</v>
      </c>
      <c r="B122" s="1" t="str">
        <v>Perú</v>
      </c>
      <c r="C122" s="1" t="str">
        <v/>
      </c>
      <c r="D122" s="1" t="str">
        <v/>
      </c>
      <c r="E122" s="1" t="str">
        <v/>
      </c>
      <c r="F122" s="1" t="str">
        <v>BS</v>
      </c>
      <c r="G122" s="1" t="str">
        <v>Creditos</v>
      </c>
      <c r="H122" s="1" t="str">
        <v>Operaciones Desembolso</v>
      </c>
      <c r="I122" s="1" t="str">
        <v>opereraciones credito desembolso</v>
      </c>
      <c r="J122" s="1" t="str">
        <v/>
      </c>
      <c r="K122" s="1" t="str">
        <v>REST</v>
      </c>
      <c r="L122" s="1" t="str">
        <v>APIM</v>
      </c>
      <c r="M122" s="1" t="str">
        <v/>
      </c>
      <c r="N122" s="1" t="str">
        <v>v1.0.0</v>
      </c>
      <c r="O122" s="1" t="str">
        <v>2026-06-25</v>
      </c>
      <c r="P122" s="1" t="str">
        <v>Activa</v>
      </c>
      <c r="Q122" s="1" t="str">
        <v/>
      </c>
      <c r="R122" s="1" t="str">
        <v/>
      </c>
      <c r="S122" s="1" t="str">
        <v/>
      </c>
      <c r="T122" s="1" t="str">
        <v/>
      </c>
      <c r="U122" s="1" t="str">
        <v/>
      </c>
      <c r="V122" s="1" t="str">
        <v/>
      </c>
      <c r="W122" s="1" t="str">
        <v/>
      </c>
    </row>
    <row r="123">
      <c r="A123" s="1" t="str">
        <v>D0123</v>
      </c>
      <c r="B123" s="1" t="str">
        <v>Perú</v>
      </c>
      <c r="C123" s="1" t="str">
        <v/>
      </c>
      <c r="D123" s="1" t="str">
        <v/>
      </c>
      <c r="E123" s="1" t="str">
        <v/>
      </c>
      <c r="F123" s="1" t="str">
        <v>BS</v>
      </c>
      <c r="G123" s="1" t="str">
        <v>Pagos</v>
      </c>
      <c r="H123" s="1" t="str">
        <v>Pago de prestamo</v>
      </c>
      <c r="I123" s="1" t="str">
        <v>gestion pago prestamo</v>
      </c>
      <c r="J123" s="1" t="str">
        <v>Media</v>
      </c>
      <c r="K123" s="1" t="str">
        <v>REST</v>
      </c>
      <c r="L123" s="1" t="str">
        <v>APIM</v>
      </c>
      <c r="M123" s="1" t="str">
        <v/>
      </c>
      <c r="N123" s="1" t="str">
        <v>v1.0.0</v>
      </c>
      <c r="O123" s="1" t="str">
        <v>2026-06-25</v>
      </c>
      <c r="P123" s="1" t="str">
        <v>Activa</v>
      </c>
      <c r="Q123" s="1" t="str">
        <v/>
      </c>
      <c r="R123" s="1" t="str">
        <v>Revisar - posible duplicado en backlog</v>
      </c>
      <c r="S123" s="1" t="str">
        <v/>
      </c>
      <c r="T123" s="1" t="str">
        <v>Sí</v>
      </c>
      <c r="U123" s="1" t="str">
        <v>Alta dispositivo</v>
      </c>
      <c r="V123" s="1" t="str">
        <v>ESB</v>
      </c>
      <c r="W123" s="1" t="str">
        <v/>
      </c>
    </row>
    <row r="124">
      <c r="A124" s="1" t="str">
        <v>D0124</v>
      </c>
      <c r="B124" s="1" t="str">
        <v>Perú</v>
      </c>
      <c r="C124" s="1" t="str">
        <v/>
      </c>
      <c r="D124" s="1" t="str">
        <v/>
      </c>
      <c r="E124" s="1" t="str">
        <v/>
      </c>
      <c r="F124" s="1" t="str">
        <v>SD</v>
      </c>
      <c r="G124" s="1" t="str">
        <v>Sales and Service</v>
      </c>
      <c r="H124" s="1" t="str">
        <v>Sales</v>
      </c>
      <c r="I124" s="1" t="str">
        <v>Product Matching</v>
      </c>
      <c r="J124" s="1" t="str">
        <v>Media</v>
      </c>
      <c r="K124" s="1" t="str">
        <v>REST</v>
      </c>
      <c r="L124" s="1" t="str">
        <v>APIM</v>
      </c>
      <c r="M124" s="1" t="str">
        <v/>
      </c>
      <c r="N124" s="1" t="str">
        <v>v1.0.0</v>
      </c>
      <c r="O124" s="1" t="str">
        <v>2026-07-02</v>
      </c>
      <c r="P124" s="1" t="str">
        <v>En Desarrollo</v>
      </c>
      <c r="Q124" s="1" t="str">
        <v/>
      </c>
      <c r="R124" s="1" t="str">
        <v>Revisar - posible duplicado en backlog</v>
      </c>
      <c r="S124" s="1" t="str">
        <v/>
      </c>
      <c r="T124" s="1" t="str">
        <v>Sí</v>
      </c>
      <c r="U124" s="1" t="str">
        <v>Alta dispositivo</v>
      </c>
      <c r="V124" s="1" t="str">
        <v>ESB</v>
      </c>
      <c r="W124" s="1" t="str">
        <v/>
      </c>
    </row>
    <row r="125">
      <c r="A125" s="1" t="str">
        <v>D0125</v>
      </c>
      <c r="B125" s="1" t="str">
        <v>Perú</v>
      </c>
      <c r="C125" s="1" t="str">
        <v/>
      </c>
      <c r="D125" s="1" t="str">
        <v/>
      </c>
      <c r="E125" s="1" t="str">
        <v/>
      </c>
      <c r="F125" s="1" t="str">
        <v>SD</v>
      </c>
      <c r="G125" s="1" t="str">
        <v>Reference Data</v>
      </c>
      <c r="H125" s="1" t="str">
        <v>External Agency</v>
      </c>
      <c r="I125" s="1" t="str">
        <v>Service Provider Operations</v>
      </c>
      <c r="J125" s="1" t="str">
        <v>Media</v>
      </c>
      <c r="K125" s="1" t="str">
        <v>REST</v>
      </c>
      <c r="L125" s="1" t="str">
        <v>APIM</v>
      </c>
      <c r="M125" s="1" t="str">
        <v/>
      </c>
      <c r="N125" s="1" t="str">
        <v>v1.0.0</v>
      </c>
      <c r="O125" s="1" t="str">
        <v>2026-07-02</v>
      </c>
      <c r="P125" s="1" t="str">
        <v>En Desarrollo</v>
      </c>
      <c r="Q125" s="1" t="str">
        <v/>
      </c>
      <c r="R125" s="1" t="str">
        <v>Revisar - posible duplicado en backlog</v>
      </c>
      <c r="S125" s="1" t="str">
        <v/>
      </c>
      <c r="T125" s="1" t="str">
        <v>Sí</v>
      </c>
      <c r="U125" s="1" t="str">
        <v>Autenticación</v>
      </c>
      <c r="V125" s="1" t="str">
        <v>ESB</v>
      </c>
      <c r="W125" s="1" t="str">
        <v/>
      </c>
    </row>
    <row r="126">
      <c r="A126" s="1" t="str">
        <v>D0126</v>
      </c>
      <c r="B126" s="1" t="str">
        <v>Perú</v>
      </c>
      <c r="C126" s="1" t="str">
        <v/>
      </c>
      <c r="D126" s="1" t="str">
        <v/>
      </c>
      <c r="E126" s="1" t="str">
        <v/>
      </c>
      <c r="F126" s="1" t="str">
        <v>SD</v>
      </c>
      <c r="G126" s="1" t="str">
        <v>Sales and Service</v>
      </c>
      <c r="H126" s="1" t="str">
        <v>Sales</v>
      </c>
      <c r="I126" s="1" t="str">
        <v>Party Lifecycle Management</v>
      </c>
      <c r="J126" s="1" t="str">
        <v>Baja</v>
      </c>
      <c r="K126" s="1" t="str">
        <v>REST</v>
      </c>
      <c r="L126" s="1" t="str">
        <v>APIM</v>
      </c>
      <c r="M126" s="1" t="str">
        <v/>
      </c>
      <c r="N126" s="1" t="str">
        <v>v1.0.0</v>
      </c>
      <c r="O126" s="1" t="str">
        <v>2026-07-02</v>
      </c>
      <c r="P126" s="1" t="str">
        <v>En Desarrollo</v>
      </c>
      <c r="Q126" s="1" t="str">
        <v/>
      </c>
      <c r="R126" s="1" t="str">
        <v>Revisar - posible duplicado en backlog</v>
      </c>
      <c r="S126" s="1" t="str">
        <v/>
      </c>
      <c r="T126" s="1" t="str">
        <v>Sí</v>
      </c>
      <c r="U126" s="1" t="str">
        <v>Consulta Cliente</v>
      </c>
      <c r="V126" s="1" t="str">
        <v>ESB</v>
      </c>
      <c r="W126" s="1" t="str">
        <v/>
      </c>
    </row>
    <row r="127">
      <c r="A127" s="1" t="str">
        <v>D0127</v>
      </c>
      <c r="B127" s="1" t="str">
        <v>Perú</v>
      </c>
      <c r="C127" s="1" t="str">
        <v/>
      </c>
      <c r="D127" s="1" t="str">
        <v/>
      </c>
      <c r="E127" s="1" t="str">
        <v/>
      </c>
      <c r="F127" s="1" t="str">
        <v>SD</v>
      </c>
      <c r="G127" s="1" t="str">
        <v>Business Support</v>
      </c>
      <c r="H127" s="1" t="str">
        <v>Document Management and Archive</v>
      </c>
      <c r="I127" s="1" t="str">
        <v>Document Directory</v>
      </c>
      <c r="J127" s="1" t="str">
        <v>Baja</v>
      </c>
      <c r="K127" s="1" t="str">
        <v>REST</v>
      </c>
      <c r="L127" s="1" t="str">
        <v>APIM</v>
      </c>
      <c r="M127" s="1" t="str">
        <v/>
      </c>
      <c r="N127" s="1" t="str">
        <v>v1.0.0</v>
      </c>
      <c r="O127" s="1" t="str">
        <v>2026-07-02</v>
      </c>
      <c r="P127" s="1" t="str">
        <v>En Desarrollo</v>
      </c>
      <c r="Q127" s="1" t="str">
        <v/>
      </c>
      <c r="R127" s="1" t="str">
        <v>Revisar - posible duplicado en backlog</v>
      </c>
      <c r="S127" s="1" t="str">
        <v/>
      </c>
      <c r="T127" s="1" t="str">
        <v>Sí</v>
      </c>
      <c r="U127" s="1" t="str">
        <v>Consulta Movimientos</v>
      </c>
      <c r="V127" s="1" t="str">
        <v>ESB</v>
      </c>
      <c r="W127" s="1" t="str">
        <v/>
      </c>
    </row>
    <row r="128">
      <c r="A128" s="1" t="str">
        <v>D0128</v>
      </c>
      <c r="B128" s="1" t="str">
        <v>Perú</v>
      </c>
      <c r="C128" s="1" t="str">
        <v/>
      </c>
      <c r="D128" s="1" t="str">
        <v/>
      </c>
      <c r="E128" s="1" t="str">
        <v/>
      </c>
      <c r="F128" s="1" t="str">
        <v>SD</v>
      </c>
      <c r="G128" s="1" t="str">
        <v>Operations and Execution</v>
      </c>
      <c r="H128" s="1" t="str">
        <v>Operational Services</v>
      </c>
      <c r="I128" s="1" t="str">
        <v>Internal Bank Account</v>
      </c>
      <c r="J128" s="1" t="str">
        <v>Baja</v>
      </c>
      <c r="K128" s="1" t="str">
        <v>REST</v>
      </c>
      <c r="L128" s="1" t="str">
        <v>APIM</v>
      </c>
      <c r="M128" s="1" t="str">
        <v/>
      </c>
      <c r="N128" s="1" t="str">
        <v>v1.0.0</v>
      </c>
      <c r="O128" s="1" t="str">
        <v>2026-07-02</v>
      </c>
      <c r="P128" s="1" t="str">
        <v>En Desarrollo</v>
      </c>
      <c r="Q128" s="1" t="str">
        <v/>
      </c>
      <c r="R128" s="1" t="str">
        <v>Revisar - posible duplicado en backlog</v>
      </c>
      <c r="S128" s="1" t="str">
        <v/>
      </c>
      <c r="T128" s="1" t="str">
        <v>Sí</v>
      </c>
      <c r="U128" s="1" t="str">
        <v>Consulta Movimientos</v>
      </c>
      <c r="V128" s="1" t="str">
        <v>ESB</v>
      </c>
      <c r="W128" s="1" t="str">
        <v/>
      </c>
    </row>
    <row r="129">
      <c r="A129" s="1" t="str">
        <v>D0129</v>
      </c>
      <c r="B129" s="1" t="str">
        <v>Perú</v>
      </c>
      <c r="C129" s="1" t="str">
        <v>[API SD] customer-case-mgmt</v>
      </c>
      <c r="D129" s="1" t="str">
        <v>Registro de reclamos de clientes - proceso las reglas asociada el regsitro de casos de reclamos de los clientes</v>
      </c>
      <c r="E129" s="1" t="str">
        <v/>
      </c>
      <c r="F129" s="1" t="str">
        <v>SD</v>
      </c>
      <c r="G129" s="1" t="str">
        <v>Servicing</v>
      </c>
      <c r="H129" s="1" t="str">
        <v>Sales and Service</v>
      </c>
      <c r="I129" s="1" t="str">
        <v>Customer Case Management</v>
      </c>
      <c r="J129" s="1" t="str">
        <v>Media</v>
      </c>
      <c r="K129" s="1" t="str">
        <v>REST</v>
      </c>
      <c r="L129" s="1" t="str">
        <v>APIM</v>
      </c>
      <c r="M129" s="1" t="str">
        <v/>
      </c>
      <c r="N129" s="1" t="str">
        <v>v1.0.0</v>
      </c>
      <c r="O129" s="1" t="str">
        <v>2026-07-21</v>
      </c>
      <c r="P129" s="1" t="str">
        <v>Activa</v>
      </c>
      <c r="Q129" s="1" t="str">
        <v/>
      </c>
      <c r="R129" s="1" t="str">
        <v>Revisar - posible duplicado en backlog</v>
      </c>
      <c r="S129" s="1" t="str">
        <v/>
      </c>
      <c r="T129" s="1" t="str">
        <v>Sí</v>
      </c>
      <c r="U129" s="1" t="str">
        <v>Consulta Movimientos</v>
      </c>
      <c r="V129" s="1" t="str">
        <v>ESB</v>
      </c>
      <c r="W129" s="1" t="str">
        <v/>
      </c>
    </row>
    <row r="130">
      <c r="A130" s="1" t="str">
        <v>D0130</v>
      </c>
      <c r="B130" s="1" t="str">
        <v>Perú</v>
      </c>
      <c r="C130" s="1" t="str">
        <v>[API EXP] customer-case-mgmt</v>
      </c>
      <c r="D130" s="1" t="str">
        <v>Canaliza el regsitro de casos de reclamos de los clientes</v>
      </c>
      <c r="E130" s="1" t="str">
        <v/>
      </c>
      <c r="F130" s="1" t="str">
        <v>EXP</v>
      </c>
      <c r="G130" s="1" t="str">
        <v/>
      </c>
      <c r="H130" s="1" t="str">
        <v/>
      </c>
      <c r="I130" s="1" t="str">
        <v/>
      </c>
      <c r="J130" s="1" t="str">
        <v>Baja</v>
      </c>
      <c r="K130" s="1" t="str">
        <v>REST</v>
      </c>
      <c r="L130" s="1" t="str">
        <v>APIM</v>
      </c>
      <c r="M130" s="1" t="str">
        <v/>
      </c>
      <c r="N130" s="1" t="str">
        <v>v1.0.0</v>
      </c>
      <c r="O130" s="1" t="str">
        <v>2026-07-21</v>
      </c>
      <c r="P130" s="1" t="str">
        <v>Activa</v>
      </c>
      <c r="Q130" s="1" t="str">
        <v/>
      </c>
      <c r="R130" s="1" t="str">
        <v>Revisar - posible duplicado en backlog</v>
      </c>
      <c r="S130" s="1" t="str">
        <v/>
      </c>
      <c r="T130" s="1" t="str">
        <v>Sí</v>
      </c>
      <c r="U130" s="1" t="str">
        <v>Consulta Productos</v>
      </c>
      <c r="V130" s="1" t="str">
        <v>ESB</v>
      </c>
      <c r="W130" s="1" t="str">
        <v/>
      </c>
    </row>
    <row r="131">
      <c r="A131" s="1" t="str">
        <v>D0131</v>
      </c>
      <c r="B131" s="1" t="str">
        <v>Perú</v>
      </c>
      <c r="C131" s="1" t="str">
        <v>[API SYS] customer-case-mgmt-create</v>
      </c>
      <c r="D131" s="1" t="str">
        <v>Registra información de reclamos en la db</v>
      </c>
      <c r="E131" s="1" t="str">
        <v/>
      </c>
      <c r="F131" s="1" t="str">
        <v>SYS</v>
      </c>
      <c r="G131" s="1" t="str">
        <v/>
      </c>
      <c r="H131" s="1" t="str">
        <v/>
      </c>
      <c r="I131" s="1" t="str">
        <v/>
      </c>
      <c r="J131" s="1" t="str">
        <v>Baja</v>
      </c>
      <c r="K131" s="1" t="str">
        <v>REST</v>
      </c>
      <c r="L131" s="1" t="str">
        <v>APIM</v>
      </c>
      <c r="M131" s="1" t="str">
        <v/>
      </c>
      <c r="N131" s="1" t="str">
        <v>v1.0.0</v>
      </c>
      <c r="O131" s="1" t="str">
        <v>2026-07-21</v>
      </c>
      <c r="P131" s="1" t="str">
        <v>Activa</v>
      </c>
      <c r="Q131" s="1" t="str">
        <v/>
      </c>
      <c r="R131" s="1" t="str">
        <v>Revisar - ya existe en catalogo BIAN, evaluar reutilizacion</v>
      </c>
      <c r="S131" s="1" t="str">
        <v/>
      </c>
      <c r="T131" s="1" t="str">
        <v>No</v>
      </c>
      <c r="U131" s="1" t="str">
        <v>Pago de Cuota</v>
      </c>
      <c r="V131" s="1" t="str">
        <v>ESB</v>
      </c>
      <c r="W131" s="1" t="str">
        <v/>
      </c>
    </row>
    <row r="132">
      <c r="A132" s="1" t="str">
        <v>D0132</v>
      </c>
      <c r="B132" s="1" t="str">
        <v>Perú</v>
      </c>
      <c r="C132" s="1" t="str">
        <v>API EXP PARTY</v>
      </c>
      <c r="D132" s="1" t="str">
        <v/>
      </c>
      <c r="E132" s="1" t="str">
        <v>API</v>
      </c>
      <c r="F132" s="1" t="str">
        <v>EXP</v>
      </c>
      <c r="G132" s="1" t="str">
        <v/>
      </c>
      <c r="H132" s="1" t="str">
        <v/>
      </c>
      <c r="I132" s="1" t="str">
        <v/>
      </c>
      <c r="J132" s="1" t="str">
        <v>Media</v>
      </c>
      <c r="K132" s="1" t="str">
        <v>REST</v>
      </c>
      <c r="L132" s="1" t="str">
        <v>APIM</v>
      </c>
      <c r="M132" s="1" t="str">
        <v/>
      </c>
      <c r="N132" s="1" t="str">
        <v>v1.0.0</v>
      </c>
      <c r="O132" s="1" t="str">
        <v>2026-08-03</v>
      </c>
      <c r="P132" s="1" t="str">
        <v>En Desarrollo</v>
      </c>
      <c r="Q132" s="1" t="str">
        <v>Riesgo</v>
      </c>
      <c r="R132" s="1" t="str">
        <v/>
      </c>
      <c r="S132" s="1" t="str">
        <v/>
      </c>
      <c r="T132" s="1" t="str">
        <v/>
      </c>
      <c r="U132" s="1" t="str">
        <v>CRM</v>
      </c>
      <c r="V132" s="1" t="str">
        <v/>
      </c>
      <c r="W132" s="1" t="str">
        <v/>
      </c>
    </row>
  </sheetData>
  <ignoredErrors>
    <ignoredError numberStoredAsText="1" sqref="A1:W132"/>
  </ignoredErrors>
</worksheet>
</file>

<file path=xl/worksheets/sheet2.xml><?xml version="1.0" encoding="utf-8"?>
<worksheet xmlns="http://schemas.openxmlformats.org/spreadsheetml/2006/main" xmlns:r="http://schemas.openxmlformats.org/officeDocument/2006/relationships">
  <dimension ref="A1:G102"/>
  <sheetViews>
    <sheetView workbookViewId="0"/>
  </sheetViews>
  <cols>
    <col min="1" max="1" width="14.83203125" customWidth="1"/>
    <col min="2" max="2" width="12.83203125" customWidth="1"/>
    <col min="3" max="3" width="13.83203125" customWidth="1"/>
    <col min="4" max="4" width="17.83203125" customWidth="1"/>
    <col min="5" max="5" width="23.83203125" customWidth="1"/>
    <col min="6" max="6" width="15.83203125" customWidth="1"/>
    <col min="7" max="7" width="18.83203125" customWidth="1"/>
  </cols>
  <sheetData>
    <row r="1">
      <c r="A1" s="1" t="str">
        <v>ID Operación</v>
      </c>
      <c r="B1" s="1" t="str">
        <v>ID API</v>
      </c>
      <c r="C1" s="1" t="str">
        <v>Método HTTP</v>
      </c>
      <c r="D1" s="1" t="str">
        <v>Path - Endpoint</v>
      </c>
      <c r="E1" s="1" t="str">
        <v>Descripción Operación</v>
      </c>
      <c r="F1" s="1" t="str">
        <v>Versión Desde</v>
      </c>
      <c r="G1" s="1" t="str">
        <v>Estado Operación</v>
      </c>
    </row>
    <row r="2">
      <c r="A2" s="1" t="str">
        <v>OP-0001</v>
      </c>
      <c r="B2" s="1" t="str">
        <v>D0001</v>
      </c>
      <c r="C2" s="1" t="str">
        <v>GET</v>
      </c>
      <c r="D2" s="1" t="str">
        <v>api/sd/credit-facility/v1/{creditfacilityid}/retrieve</v>
      </c>
      <c r="E2" s="1" t="str">
        <v>gestiona el ciclo de vida de lineas de crédito, desde la apertura hasta el mantenimiento.</v>
      </c>
      <c r="F2" s="1" t="str">
        <v>v1.0.0</v>
      </c>
      <c r="G2" s="1" t="str">
        <v>Activa</v>
      </c>
    </row>
    <row r="3">
      <c r="A3" s="1" t="str">
        <v>OP-0002</v>
      </c>
      <c r="B3" s="1" t="str">
        <v>D0002</v>
      </c>
      <c r="C3" s="1" t="str">
        <v>POST</v>
      </c>
      <c r="D3" s="1" t="str">
        <v>api/sd/cust-credit-rating/v1/external-reporting/rcc-sumary-score-risk/retrieve</v>
      </c>
      <c r="E3" s="1" t="str">
        <v>calcula y mantiene la calificación crediticia del cliente, integrando datos internos y externos</v>
      </c>
      <c r="F3" s="1" t="str">
        <v>v1.0.0</v>
      </c>
      <c r="G3" s="1" t="str">
        <v>Activa</v>
      </c>
    </row>
    <row r="4">
      <c r="A4" s="1" t="str">
        <v>OP-0003</v>
      </c>
      <c r="B4" s="1" t="str">
        <v>D0003</v>
      </c>
      <c r="C4" s="1" t="str">
        <v>POST</v>
      </c>
      <c r="D4" s="1" t="str">
        <v>api/sd/cust-product-svc-dir/v1/customer-associate/loan-product/retrieve</v>
      </c>
      <c r="E4" s="1" t="str">
        <v>mantiene el registro de todos los productos y servicios adquiridos por el cliente, incluyendo configuraciones y estado actual</v>
      </c>
      <c r="F4" s="1" t="str">
        <v>v1.0.0</v>
      </c>
      <c r="G4" s="1" t="str">
        <v>Activa</v>
      </c>
    </row>
    <row r="5">
      <c r="A5" s="1" t="str">
        <v>OP-0004</v>
      </c>
      <c r="B5" s="1" t="str">
        <v>D0003</v>
      </c>
      <c r="C5" s="1" t="str">
        <v>GET</v>
      </c>
      <c r="D5" s="1" t="str">
        <v>api/sd/cust-product-svc-dir/v1/customer/{customerid}/product/{productid}/retrieve</v>
      </c>
      <c r="E5" s="1" t="str">
        <v>mantiene el registro de todos los productos y servicios adquiridos por el cliente, incluyendo configuraciones y estado actual</v>
      </c>
      <c r="F5" s="1" t="str">
        <v>v1.0.0</v>
      </c>
      <c r="G5" s="1" t="str">
        <v>Activa</v>
      </c>
    </row>
    <row r="6">
      <c r="A6" s="1" t="str">
        <v>OP-0005</v>
      </c>
      <c r="B6" s="1" t="str">
        <v>D0004</v>
      </c>
      <c r="C6" s="1" t="str">
        <v>POST</v>
      </c>
      <c r="D6" s="1" t="str">
        <v>api/proc/eval-credit-risk/v1/total-risk-eval</v>
      </c>
      <c r="E6" s="1" t="str">
        <v>Exposicion de las API's de Evaluacion de Riesgo Crediticio</v>
      </c>
      <c r="F6" s="1" t="str">
        <v>v1.0.0</v>
      </c>
      <c r="G6" s="1" t="str">
        <v>Activa</v>
      </c>
    </row>
    <row r="7">
      <c r="A7" s="1" t="str">
        <v>OP-0006</v>
      </c>
      <c r="B7" s="1" t="str">
        <v>D0004</v>
      </c>
      <c r="C7" s="1" t="str">
        <v>POST</v>
      </c>
      <c r="D7" s="1" t="str">
        <v>api/proc/eval-credit-risk/v1/fin-statement-assessment-eval</v>
      </c>
      <c r="E7" s="1" t="str">
        <v>Exposicion de las API's de Evaluacion de Riesgo Crediticio</v>
      </c>
      <c r="F7" s="1" t="str">
        <v>v1.0.0</v>
      </c>
      <c r="G7" s="1" t="str">
        <v>Activa</v>
      </c>
    </row>
    <row r="8">
      <c r="A8" s="1" t="str">
        <v>OP-0007</v>
      </c>
      <c r="B8" s="1" t="str">
        <v>D0004</v>
      </c>
      <c r="C8" s="1" t="str">
        <v>GET</v>
      </c>
      <c r="D8" s="1" t="str">
        <v>api/proc/eval-credit-risk/v1/fin-statement-assessment/{financialstatementid}</v>
      </c>
      <c r="E8" s="1" t="str">
        <v>Exposicion de las API's de Evaluacion de Riesgo Crediticio</v>
      </c>
      <c r="F8" s="1" t="str">
        <v>v1.0.0</v>
      </c>
      <c r="G8" s="1" t="str">
        <v>Activa</v>
      </c>
    </row>
    <row r="9">
      <c r="A9" s="1" t="str">
        <v>OP-0008</v>
      </c>
      <c r="B9" s="1" t="str">
        <v>D0004</v>
      </c>
      <c r="C9" s="1" t="str">
        <v>POST</v>
      </c>
      <c r="D9" s="1" t="str">
        <v>api/proc/eval-credit-risk/v1/underwriting-eval</v>
      </c>
      <c r="E9" s="1" t="str">
        <v>Exposicion de las API's de Evaluacion de Riesgo Crediticio</v>
      </c>
      <c r="F9" s="1" t="str">
        <v>v1.0.0</v>
      </c>
      <c r="G9" s="1" t="str">
        <v>Activa</v>
      </c>
    </row>
    <row r="10">
      <c r="A10" s="1" t="str">
        <v>OP-0009</v>
      </c>
      <c r="B10" s="1" t="str">
        <v>D0004</v>
      </c>
      <c r="C10" s="1" t="str">
        <v>GET</v>
      </c>
      <c r="D10" s="1" t="str">
        <v>api/proc/eval-credit-risk/v1/underwriting/{underwritingid}</v>
      </c>
      <c r="E10" s="1" t="str">
        <v>Exposicion de las API's de Evaluacion de Riesgo Crediticio</v>
      </c>
      <c r="F10" s="1" t="str">
        <v>v1.0.0</v>
      </c>
      <c r="G10" s="1" t="str">
        <v>Activa</v>
      </c>
    </row>
    <row r="11">
      <c r="A11" s="1" t="str">
        <v>OP-0010</v>
      </c>
      <c r="B11" s="1" t="str">
        <v>D0005</v>
      </c>
      <c r="C11" s="1" t="str">
        <v>POST</v>
      </c>
      <c r="D11" s="1" t="str">
        <v>api/sd/fin-statement-assessment/v1/{financialstatementassessmentid}/retrieve</v>
      </c>
      <c r="E11" s="1" t="str">
        <v>soporta un conjunto amplio de cálculos y evaluaciones aplicadas a estados financieros provenientes de clientes corporativos o unidades internas</v>
      </c>
      <c r="F11" s="1" t="str">
        <v>v1.0.0</v>
      </c>
      <c r="G11" s="1" t="str">
        <v>Activa</v>
      </c>
    </row>
    <row r="12">
      <c r="A12" s="1" t="str">
        <v>OP-0011</v>
      </c>
      <c r="B12" s="1" t="str">
        <v>D0005</v>
      </c>
      <c r="C12" s="1" t="str">
        <v>GET</v>
      </c>
      <c r="D12" s="1" t="str">
        <v>api/sd/fin-statement-assessment/v1/{financialstatementassessmentid}/retrieve</v>
      </c>
      <c r="E12" s="1" t="str">
        <v>soporta un conjunto amplio de cálculos y evaluaciones aplicadas a estados financieros provenientes de clientes corporativos o unidades internas</v>
      </c>
      <c r="F12" s="1" t="str">
        <v>v1.0.0</v>
      </c>
      <c r="G12" s="1" t="str">
        <v>Activa</v>
      </c>
    </row>
    <row r="13">
      <c r="A13" s="1" t="str">
        <v>OP-0012</v>
      </c>
      <c r="B13" s="1" t="str">
        <v>D0006</v>
      </c>
      <c r="C13" s="1" t="str">
        <v>GET</v>
      </c>
      <c r="D13" s="1" t="str">
        <v>api/sd/loan/v2/{loanid}/retrieve</v>
      </c>
      <c r="E13" s="1" t="str">
        <v>gestiona el ciclo de vida del préstamo de consumo, desde la apertura hasta el mantenimiento y reestructuración.</v>
      </c>
      <c r="F13" s="1" t="str">
        <v>v1.0.0</v>
      </c>
      <c r="G13" s="1" t="str">
        <v>Activa</v>
      </c>
    </row>
    <row r="14">
      <c r="A14" s="1" t="str">
        <v>OP-0014</v>
      </c>
      <c r="B14" s="1" t="str">
        <v>D0009</v>
      </c>
      <c r="C14" s="1" t="str">
        <v>POST</v>
      </c>
      <c r="D14" s="1" t="str">
        <v>api/sd/customer-offer/v1/initiate</v>
      </c>
      <c r="E14" s="1" t="str">
        <v>Orquestar el procesamiento de una oferta de producto o servicio para un cliente, ya sea nuevo o existente</v>
      </c>
      <c r="F14" s="1" t="str">
        <v>v1.0.0</v>
      </c>
      <c r="G14" s="1" t="str">
        <v>Activa</v>
      </c>
    </row>
    <row r="15">
      <c r="A15" s="1" t="str">
        <v>OP-0015</v>
      </c>
      <c r="B15" s="1" t="str">
        <v>D0020</v>
      </c>
      <c r="C15" s="1" t="str">
        <v>GET</v>
      </c>
      <c r="D15" s="1" t="str">
        <v>Retrieve</v>
      </c>
      <c r="E15" s="1" t="str">
        <v>Consulta del catálogo de productos financieros.</v>
      </c>
      <c r="F15" s="1" t="str">
        <v>v1.0.0</v>
      </c>
      <c r="G15" s="1" t="str">
        <v>Activa</v>
      </c>
    </row>
    <row r="16">
      <c r="A16" s="1" t="str">
        <v>OP-0016</v>
      </c>
      <c r="B16" s="1" t="str">
        <v>D0022</v>
      </c>
      <c r="C16" s="1" t="str">
        <v>GET</v>
      </c>
      <c r="D16" s="1" t="str">
        <v>Retrieve</v>
      </c>
      <c r="E16" s="1" t="str">
        <v>+ Retrieve: Recupera el estado actual o último estado de conectividad de las APIs, segmentado por dominio y ambiente.</v>
      </c>
      <c r="F16" s="1" t="str">
        <v>v1.0.0</v>
      </c>
      <c r="G16" s="1" t="str">
        <v>Activa</v>
      </c>
    </row>
    <row r="17" xml:space="preserve">
      <c r="A17" s="1" t="str">
        <v>OP-0017</v>
      </c>
      <c r="B17" s="1" t="str">
        <v>D0007</v>
      </c>
      <c r="C17" s="1" t="str">
        <v>GET</v>
      </c>
      <c r="D17" s="1" t="str">
        <v>Retrieve (phonenumberid</v>
      </c>
      <c r="E17" s="1" t="str" xml:space="preserve">
        <v xml:space="preserve">+ {phonenumberid}/Retrieve: Obtener el Código identificador del cliente (CIC) a partir de una referencia (p.ej. número de celular) en el sistema fuente, devolviendo un modelo canónico para capas superiores.
+ {customerid}/Retrieve: Obtener los datos de un cliente (p.ej. Nombre del cliente) a partir del Código Identificador del cliente (CIC).</v>
      </c>
      <c r="F17" s="1" t="str">
        <v>v1.0.0</v>
      </c>
      <c r="G17" s="1" t="str">
        <v>Activa</v>
      </c>
    </row>
    <row r="18" xml:space="preserve">
      <c r="A18" s="1" t="str">
        <v>OP-0018</v>
      </c>
      <c r="B18" s="1" t="str">
        <v>D0007</v>
      </c>
      <c r="C18" s="1" t="str">
        <v/>
      </c>
      <c r="D18" s="1" t="str">
        <v>customerid)</v>
      </c>
      <c r="E18" s="1" t="str" xml:space="preserve">
        <v xml:space="preserve">+ {phonenumberid}/Retrieve: Obtener el Código identificador del cliente (CIC) a partir de una referencia (p.ej. número de celular) en el sistema fuente, devolviendo un modelo canónico para capas superiores.
+ {customerid}/Retrieve: Obtener los datos de un cliente (p.ej. Nombre del cliente) a partir del Código Identificador del cliente (CIC).</v>
      </c>
      <c r="F18" s="1" t="str">
        <v>v1.0.0</v>
      </c>
      <c r="G18" s="1" t="str">
        <v>Activa</v>
      </c>
    </row>
    <row r="19">
      <c r="A19" s="1" t="str">
        <v>OP-0019</v>
      </c>
      <c r="B19" s="1" t="str">
        <v>D0003</v>
      </c>
      <c r="C19" s="1" t="str">
        <v>GET</v>
      </c>
      <c r="D19" s="1" t="str">
        <v>Retrieve</v>
      </c>
      <c r="E19" s="1" t="str">
        <v>+ Retrieve: Consultar en el sistema fuente las cuentas afiliadas del cliente (ahorros/corriente) y devolverlas en modelo canónico.</v>
      </c>
      <c r="F19" s="1" t="str">
        <v>v1.0.0</v>
      </c>
      <c r="G19" s="1" t="str">
        <v>Activa</v>
      </c>
    </row>
    <row r="20" xml:space="preserve">
      <c r="A20" s="1" t="str">
        <v>OP-0020</v>
      </c>
      <c r="B20" s="1" t="str">
        <v>D0024</v>
      </c>
      <c r="C20" s="1" t="str">
        <v>POST</v>
      </c>
      <c r="D20" s="1" t="str">
        <v>Evaluate</v>
      </c>
      <c r="E20" s="1" t="str" xml:space="preserve">
        <v xml:space="preserve">+ Evaluate: Crear el contexto de autenticación de la tarjeta de debito.
+ Device/Evaluate: Validar los datos de la tarjeta dentro del contexto creado en Evaluate
+ Password/Evaluate: Validar el PIN ATM de la tarjeta de debito (password existente) dentro del mismo contexto
+/Behavior/Retrieve: Valida el código OTP (SMS) enviado como parte del flujo de autenticación de la tarjeta
+ Execute: Solicita la creación código OTP</v>
      </c>
      <c r="F20" s="1" t="str">
        <v>v1.0.0</v>
      </c>
      <c r="G20" s="1" t="str">
        <v>Activa</v>
      </c>
    </row>
    <row r="21" xml:space="preserve">
      <c r="A21" s="1" t="str">
        <v>OP-0021</v>
      </c>
      <c r="B21" s="1" t="str">
        <v>D0024</v>
      </c>
      <c r="C21" s="1" t="str">
        <v>POST</v>
      </c>
      <c r="D21" s="1" t="str">
        <v>/Device/Evaluate</v>
      </c>
      <c r="E21" s="1" t="str" xml:space="preserve">
        <v xml:space="preserve">+ Evaluate: Crear el contexto de autenticación de la tarjeta de debito.
+ Device/Evaluate: Validar los datos de la tarjeta dentro del contexto creado en Evaluate
+ Password/Evaluate: Validar el PIN ATM de la tarjeta de debito (password existente) dentro del mismo contexto
+/Behavior/Retrieve: Valida el código OTP (SMS) enviado como parte del flujo de autenticación de la tarjeta
+ Execute: Solicita la creación código OTP</v>
      </c>
      <c r="F21" s="1" t="str">
        <v>v1.0.0</v>
      </c>
      <c r="G21" s="1" t="str">
        <v>Activa</v>
      </c>
    </row>
    <row r="22" xml:space="preserve">
      <c r="A22" s="1" t="str">
        <v>OP-0022</v>
      </c>
      <c r="B22" s="1" t="str">
        <v>D0024</v>
      </c>
      <c r="C22" s="1" t="str">
        <v>POST</v>
      </c>
      <c r="D22" s="1" t="str">
        <v>Password/Evaluate</v>
      </c>
      <c r="E22" s="1" t="str" xml:space="preserve">
        <v xml:space="preserve">+ Evaluate: Crear el contexto de autenticación de la tarjeta de debito.
+ Device/Evaluate: Validar los datos de la tarjeta dentro del contexto creado en Evaluate
+ Password/Evaluate: Validar el PIN ATM de la tarjeta de debito (password existente) dentro del mismo contexto
+/Behavior/Retrieve: Valida el código OTP (SMS) enviado como parte del flujo de autenticación de la tarjeta
+ Execute: Solicita la creación código OTP</v>
      </c>
      <c r="F22" s="1" t="str">
        <v>v1.0.0</v>
      </c>
      <c r="G22" s="1" t="str">
        <v>Activa</v>
      </c>
    </row>
    <row r="23" xml:space="preserve">
      <c r="A23" s="1" t="str">
        <v>OP-0023</v>
      </c>
      <c r="B23" s="1" t="str">
        <v>D0024</v>
      </c>
      <c r="C23" s="1" t="str">
        <v>GET</v>
      </c>
      <c r="D23" s="1" t="str">
        <v>/Behavior/Retrieve</v>
      </c>
      <c r="E23" s="1" t="str" xml:space="preserve">
        <v xml:space="preserve">+ Evaluate: Crear el contexto de autenticación de la tarjeta de debito.
+ Device/Evaluate: Validar los datos de la tarjeta dentro del contexto creado en Evaluate
+ Password/Evaluate: Validar el PIN ATM de la tarjeta de debito (password existente) dentro del mismo contexto
+/Behavior/Retrieve: Valida el código OTP (SMS) enviado como parte del flujo de autenticación de la tarjeta
+ Execute: Solicita la creación código OTP</v>
      </c>
      <c r="F23" s="1" t="str">
        <v>v1.0.0</v>
      </c>
      <c r="G23" s="1" t="str">
        <v>Activa</v>
      </c>
    </row>
    <row r="24" xml:space="preserve">
      <c r="A24" s="1" t="str">
        <v>OP-0024</v>
      </c>
      <c r="B24" s="1" t="str">
        <v>D0024</v>
      </c>
      <c r="C24" s="1" t="str">
        <v>POST</v>
      </c>
      <c r="D24" s="1" t="str">
        <v>Execute</v>
      </c>
      <c r="E24" s="1" t="str" xml:space="preserve">
        <v xml:space="preserve">+ Evaluate: Crear el contexto de autenticación de la tarjeta de debito.
+ Device/Evaluate: Validar los datos de la tarjeta dentro del contexto creado en Evaluate
+ Password/Evaluate: Validar el PIN ATM de la tarjeta de debito (password existente) dentro del mismo contexto
+/Behavior/Retrieve: Valida el código OTP (SMS) enviado como parte del flujo de autenticación de la tarjeta
+ Execute: Solicita la creación código OTP</v>
      </c>
      <c r="F24" s="1" t="str">
        <v>v1.0.0</v>
      </c>
      <c r="G24" s="1" t="str">
        <v>Activa</v>
      </c>
    </row>
    <row r="25" xml:space="preserve">
      <c r="A25" s="1" t="str">
        <v>OP-0025</v>
      </c>
      <c r="B25" s="1" t="str">
        <v>D0025</v>
      </c>
      <c r="C25" s="1" t="str">
        <v>POST</v>
      </c>
      <c r="D25" s="1" t="str">
        <v>Evaluate</v>
      </c>
      <c r="E25" s="1" t="str" xml:space="preserve">
        <v xml:space="preserve">+ Evaluate: Determina si el cliente puede afiliarse a TAPP.
+ Update: Registra afiliación del cliente.
+ Retrieve: Valida si el cliente está afiliado a TAPP.</v>
      </c>
      <c r="F25" s="1" t="str">
        <v>v1.0.0</v>
      </c>
      <c r="G25" s="1" t="str">
        <v>Activa</v>
      </c>
    </row>
    <row r="26" xml:space="preserve">
      <c r="A26" s="1" t="str">
        <v>OP-0026</v>
      </c>
      <c r="B26" s="1" t="str">
        <v>D0025</v>
      </c>
      <c r="C26" s="1" t="str">
        <v>PUT</v>
      </c>
      <c r="D26" s="1" t="str">
        <v>Update</v>
      </c>
      <c r="E26" s="1" t="str" xml:space="preserve">
        <v xml:space="preserve">+ Evaluate: Determina si el cliente puede afiliarse a TAPP.
+ Update: Registra afiliación del cliente.
+ Retrieve: Valida si el cliente está afiliado a TAPP.</v>
      </c>
      <c r="F26" s="1" t="str">
        <v>v1.0.0</v>
      </c>
      <c r="G26" s="1" t="str">
        <v>Activa</v>
      </c>
    </row>
    <row r="27" xml:space="preserve">
      <c r="A27" s="1" t="str">
        <v>OP-0027</v>
      </c>
      <c r="B27" s="1" t="str">
        <v>D0025</v>
      </c>
      <c r="C27" s="1" t="str">
        <v>GET</v>
      </c>
      <c r="D27" s="1" t="str">
        <v>Retrieve</v>
      </c>
      <c r="E27" s="1" t="str" xml:space="preserve">
        <v xml:space="preserve">+ Evaluate: Determina si el cliente puede afiliarse a TAPP.
+ Update: Registra afiliación del cliente.
+ Retrieve: Valida si el cliente está afiliado a TAPP.</v>
      </c>
      <c r="F27" s="1" t="str">
        <v>v1.0.0</v>
      </c>
      <c r="G27" s="1" t="str">
        <v>Activa</v>
      </c>
    </row>
    <row r="28" xml:space="preserve">
      <c r="A28" s="1" t="str">
        <v>OP-0028</v>
      </c>
      <c r="B28" s="1" t="str">
        <v>D0026</v>
      </c>
      <c r="C28" s="1" t="str">
        <v>POST</v>
      </c>
      <c r="D28" s="1" t="str">
        <v>PasswordAssignment/Initiate</v>
      </c>
      <c r="E28" s="1" t="str" xml:space="preserve">
        <v xml:space="preserve">+ PasswordAssignment/Initiate: Crea y reestablece el PIN TAPP del cliente.
+ PasswordAssignment/Update: Cambia la clave PIN TAPP.</v>
      </c>
      <c r="F28" s="1" t="str">
        <v>v1.0.0</v>
      </c>
      <c r="G28" s="1" t="str">
        <v>Activa</v>
      </c>
    </row>
    <row r="29" xml:space="preserve">
      <c r="A29" s="1" t="str">
        <v>OP-0029</v>
      </c>
      <c r="B29" s="1" t="str">
        <v>D0026</v>
      </c>
      <c r="C29" s="1" t="str">
        <v>PUT</v>
      </c>
      <c r="D29" s="1" t="str">
        <v>PasswordAssignment/Update</v>
      </c>
      <c r="E29" s="1" t="str" xml:space="preserve">
        <v xml:space="preserve">+ PasswordAssignment/Initiate: Crea y reestablece el PIN TAPP del cliente.
+ PasswordAssignment/Update: Cambia la clave PIN TAPP.</v>
      </c>
      <c r="F29" s="1" t="str">
        <v>v1.0.0</v>
      </c>
      <c r="G29" s="1" t="str">
        <v>Activa</v>
      </c>
    </row>
    <row r="30">
      <c r="A30" s="1" t="str">
        <v>OP-0030</v>
      </c>
      <c r="B30" s="1" t="str">
        <v>D0027</v>
      </c>
      <c r="C30" s="1" t="str">
        <v>POST</v>
      </c>
      <c r="D30" s="1" t="str">
        <v>Outbound/initiate</v>
      </c>
      <c r="E30" s="1" t="str">
        <v>+ Outbound/Initiate: Envía la notificación al cliente (vía email).</v>
      </c>
      <c r="F30" s="1" t="str">
        <v>v1.0.0</v>
      </c>
      <c r="G30" s="1" t="str">
        <v>Activa</v>
      </c>
    </row>
    <row r="31">
      <c r="A31" s="1" t="str">
        <v>OP-0031</v>
      </c>
      <c r="B31" s="1" t="str">
        <v>D0044</v>
      </c>
      <c r="C31" s="1" t="str">
        <v>PATCH</v>
      </c>
      <c r="D31" s="1" t="str">
        <v>Control</v>
      </c>
      <c r="E31" s="1" t="str">
        <v>Gestionar afiliación/desafiliación e interoperabilidad con CCE para transferencias y consultas de movimientos.</v>
      </c>
      <c r="F31" s="1" t="str">
        <v>v1.0.0</v>
      </c>
      <c r="G31" s="1" t="str">
        <v>Activa</v>
      </c>
    </row>
    <row r="32">
      <c r="A32" s="1" t="str">
        <v>OP-0032</v>
      </c>
      <c r="B32" s="1" t="str">
        <v>D0044</v>
      </c>
      <c r="C32" s="1" t="str">
        <v>POST</v>
      </c>
      <c r="D32" s="1" t="str">
        <v>Initiate</v>
      </c>
      <c r="E32" s="1" t="str">
        <v>Gestionar afiliación/desafiliación e interoperabilidad con CCE para transferencias y consultas de movimientos.</v>
      </c>
      <c r="F32" s="1" t="str">
        <v>v1.0.0</v>
      </c>
      <c r="G32" s="1" t="str">
        <v>Activa</v>
      </c>
    </row>
    <row r="33">
      <c r="A33" s="1" t="str">
        <v>OP-0033</v>
      </c>
      <c r="B33" s="1" t="str">
        <v>D0044</v>
      </c>
      <c r="C33" s="1" t="str">
        <v>GET</v>
      </c>
      <c r="D33" s="1" t="str">
        <v>Retrieve</v>
      </c>
      <c r="E33" s="1" t="str">
        <v>Gestionar afiliación/desafiliación e interoperabilidad con CCE para transferencias y consultas de movimientos.</v>
      </c>
      <c r="F33" s="1" t="str">
        <v>v1.0.0</v>
      </c>
      <c r="G33" s="1" t="str">
        <v>Activa</v>
      </c>
    </row>
    <row r="34">
      <c r="A34" s="1" t="str">
        <v>OP-0034</v>
      </c>
      <c r="B34" s="1" t="str">
        <v>D0012</v>
      </c>
      <c r="C34" s="1" t="str">
        <v>GET</v>
      </c>
      <c r="D34" s="1" t="str">
        <v>Retrieve</v>
      </c>
      <c r="E34" s="1" t="str">
        <v>Consulta y selección de servicios a pagar (familia, servicio, número de suministro).</v>
      </c>
      <c r="F34" s="1" t="str">
        <v>v1.0.0</v>
      </c>
      <c r="G34" s="1" t="str">
        <v>Activa</v>
      </c>
    </row>
    <row r="35">
      <c r="A35" s="1" t="str">
        <v>OP-0035</v>
      </c>
      <c r="B35" s="1" t="str">
        <v>D0047</v>
      </c>
      <c r="C35" s="1" t="str">
        <v>GET</v>
      </c>
      <c r="D35" s="1" t="str">
        <v>Retrieve</v>
      </c>
      <c r="E35" s="1" t="str">
        <v>Gestión de cobros, cargos y facturación asociados a productos financieros.</v>
      </c>
      <c r="F35" s="1" t="str">
        <v>v1.0.0</v>
      </c>
      <c r="G35" s="1" t="str">
        <v>Activa</v>
      </c>
    </row>
    <row r="36">
      <c r="A36" s="1" t="str">
        <v>OP-0036</v>
      </c>
      <c r="B36" s="1" t="str">
        <v>D0047</v>
      </c>
      <c r="C36" s="1" t="str">
        <v>PUT</v>
      </c>
      <c r="D36" s="1" t="str">
        <v>Update</v>
      </c>
      <c r="E36" s="1" t="str">
        <v>Gestión de cobros, cargos y facturación asociados a productos financieros.</v>
      </c>
      <c r="F36" s="1" t="str">
        <v>v1.0.0</v>
      </c>
      <c r="G36" s="1" t="str">
        <v>Activa</v>
      </c>
    </row>
    <row r="37">
      <c r="A37" s="1" t="str">
        <v>OP-0037</v>
      </c>
      <c r="B37" s="1" t="str">
        <v>D0009</v>
      </c>
      <c r="C37" s="1" t="str">
        <v>GET</v>
      </c>
      <c r="D37" s="1" t="str">
        <v>Retrieve</v>
      </c>
      <c r="E37" s="1" t="str">
        <v>Consulta de ofertas comerciales y productos elegibles para el cliente.</v>
      </c>
      <c r="F37" s="1" t="str">
        <v>v1.0.0</v>
      </c>
      <c r="G37" s="1" t="str">
        <v>Activa</v>
      </c>
    </row>
    <row r="38">
      <c r="A38" s="1" t="str">
        <v>OP-0039</v>
      </c>
      <c r="B38" s="1" t="str">
        <v>D0019</v>
      </c>
      <c r="C38" s="1" t="str">
        <v>POST</v>
      </c>
      <c r="D38" s="1" t="str">
        <v>Initiate</v>
      </c>
      <c r="E38" s="1" t="str">
        <v>Generación y ejecución de desembolsos de crédito.</v>
      </c>
      <c r="F38" s="1" t="str">
        <v>v1.0.0</v>
      </c>
      <c r="G38" s="1" t="str">
        <v>Activa</v>
      </c>
    </row>
    <row r="39">
      <c r="A39" s="1" t="str">
        <v>OP-0040</v>
      </c>
      <c r="B39" s="1" t="str">
        <v>D0019</v>
      </c>
      <c r="C39" s="1" t="str">
        <v>POST</v>
      </c>
      <c r="D39" s="1" t="str">
        <v>Execute</v>
      </c>
      <c r="E39" s="1" t="str">
        <v>Generación y ejecución de desembolsos de crédito.</v>
      </c>
      <c r="F39" s="1" t="str">
        <v>v1.0.0</v>
      </c>
      <c r="G39" s="1" t="str">
        <v>Activa</v>
      </c>
    </row>
    <row r="40">
      <c r="A40" s="1" t="str">
        <v>OP-0041</v>
      </c>
      <c r="B40" s="1" t="str">
        <v>D0015</v>
      </c>
      <c r="C40" s="1" t="str">
        <v>GET</v>
      </c>
      <c r="D40" s="1" t="str">
        <v>Retrieve</v>
      </c>
      <c r="E40" s="1" t="str">
        <v>Gestión de descuentos y condiciones preferenciales de precios.</v>
      </c>
      <c r="F40" s="1" t="str">
        <v>v1.0.0</v>
      </c>
      <c r="G40" s="1" t="str">
        <v>Activa</v>
      </c>
    </row>
    <row r="41">
      <c r="A41" s="1" t="str">
        <v>OP-0042</v>
      </c>
      <c r="B41" s="1" t="str">
        <v>D0015</v>
      </c>
      <c r="C41" s="1" t="str">
        <v>POST</v>
      </c>
      <c r="D41" s="1" t="str">
        <v>Evaluate</v>
      </c>
      <c r="E41" s="1" t="str">
        <v>Gestión de descuentos y condiciones preferenciales de precios.</v>
      </c>
      <c r="F41" s="1" t="str">
        <v>v1.0.0</v>
      </c>
      <c r="G41" s="1" t="str">
        <v>Activa</v>
      </c>
    </row>
    <row r="42">
      <c r="A42" s="1" t="str">
        <v>OP-0043</v>
      </c>
      <c r="B42" s="1" t="str">
        <v>D0032</v>
      </c>
      <c r="C42" s="1" t="str">
        <v>POST</v>
      </c>
      <c r="D42" s="1" t="str">
        <v>Evaluate</v>
      </c>
      <c r="E42" s="1" t="str">
        <v>Evaluación de fraude y riesgo antes de ejecutar transacciones.</v>
      </c>
      <c r="F42" s="1" t="str">
        <v>v1.0.0</v>
      </c>
      <c r="G42" s="1" t="str">
        <v>Activa</v>
      </c>
    </row>
    <row r="43">
      <c r="A43" s="1" t="str">
        <v>OP-0044</v>
      </c>
      <c r="B43" s="1" t="str">
        <v>D0039</v>
      </c>
      <c r="C43" s="1" t="str">
        <v>POST</v>
      </c>
      <c r="D43" s="1" t="str">
        <v>Capture</v>
      </c>
      <c r="E43" s="1" t="str">
        <v>Gestión de prospectos y oportunidades comerciales para originación.</v>
      </c>
      <c r="F43" s="1" t="str">
        <v>v1.0.0</v>
      </c>
      <c r="G43" s="1" t="str">
        <v>Activa</v>
      </c>
    </row>
    <row r="44">
      <c r="A44" s="1" t="str">
        <v>OP-0045</v>
      </c>
      <c r="B44" s="1" t="str">
        <v>D0039</v>
      </c>
      <c r="C44" s="1" t="str">
        <v>GET</v>
      </c>
      <c r="D44" s="1" t="str">
        <v>Retrieve</v>
      </c>
      <c r="E44" s="1" t="str">
        <v>Gestión de prospectos y oportunidades comerciales para originación.</v>
      </c>
      <c r="F44" s="1" t="str">
        <v>v1.0.0</v>
      </c>
      <c r="G44" s="1" t="str">
        <v>Activa</v>
      </c>
    </row>
    <row r="45">
      <c r="A45" s="1" t="str">
        <v>OP-0046</v>
      </c>
      <c r="B45" s="1" t="str">
        <v>D0006</v>
      </c>
      <c r="C45" s="1" t="str">
        <v>GET</v>
      </c>
      <c r="D45" s="1" t="str">
        <v>Retrieve</v>
      </c>
      <c r="E45" s="1" t="str">
        <v>Consulta y gestión del ciclo de vida de préstamos.</v>
      </c>
      <c r="F45" s="1" t="str">
        <v>v1.0.0</v>
      </c>
      <c r="G45" s="1" t="str">
        <v>Activa</v>
      </c>
    </row>
    <row r="46">
      <c r="A46" s="1" t="str">
        <v>OP-0047</v>
      </c>
      <c r="B46" s="1" t="str">
        <v>D0006</v>
      </c>
      <c r="C46" s="1" t="str">
        <v>PUT</v>
      </c>
      <c r="D46" s="1" t="str">
        <v>Update</v>
      </c>
      <c r="E46" s="1" t="str">
        <v>Consulta y gestión del ciclo de vida de préstamos.</v>
      </c>
      <c r="F46" s="1" t="str">
        <v>v1.0.0</v>
      </c>
      <c r="G46" s="1" t="str">
        <v>Activa</v>
      </c>
    </row>
    <row r="47">
      <c r="A47" s="1" t="str">
        <v>OP-0048</v>
      </c>
      <c r="B47" s="1" t="str">
        <v>D0024</v>
      </c>
      <c r="C47" s="1" t="str">
        <v>POST</v>
      </c>
      <c r="D47" s="1" t="str">
        <v>Authenticate</v>
      </c>
      <c r="E47" s="1" t="str">
        <v>Autenticación y validación de identidad del cliente.</v>
      </c>
      <c r="F47" s="1" t="str">
        <v>v1.0.0</v>
      </c>
      <c r="G47" s="1" t="str">
        <v>Activa</v>
      </c>
    </row>
    <row r="48">
      <c r="A48" s="1" t="str">
        <v>OP-0049</v>
      </c>
      <c r="B48" s="1" t="str">
        <v>D0024</v>
      </c>
      <c r="C48" s="1" t="str">
        <v>POST</v>
      </c>
      <c r="D48" s="1" t="str">
        <v>Verify</v>
      </c>
      <c r="E48" s="1" t="str">
        <v>Autenticación y validación de identidad del cliente.</v>
      </c>
      <c r="F48" s="1" t="str">
        <v>v1.0.0</v>
      </c>
      <c r="G48" s="1" t="str">
        <v>Activa</v>
      </c>
    </row>
    <row r="49">
      <c r="A49" s="1" t="str">
        <v>OP-0050</v>
      </c>
      <c r="B49" s="1" t="str">
        <v>D0007</v>
      </c>
      <c r="C49" s="1" t="str">
        <v>GET</v>
      </c>
      <c r="D49" s="1" t="str">
        <v>Retrieve</v>
      </c>
      <c r="E49" s="1" t="str">
        <v>Consulta de billeteras, teléfonos, cuentas y datos referenciales del cliente.</v>
      </c>
      <c r="F49" s="1" t="str">
        <v>v1.0.0</v>
      </c>
      <c r="G49" s="1" t="str">
        <v>Activa</v>
      </c>
    </row>
    <row r="50">
      <c r="A50" s="1" t="str">
        <v>OP-0051</v>
      </c>
      <c r="B50" s="1" t="str">
        <v>D0029</v>
      </c>
      <c r="C50" s="1" t="str">
        <v>POST</v>
      </c>
      <c r="D50" s="1" t="str">
        <v>Execute</v>
      </c>
      <c r="E50" s="1" t="str">
        <v>Ejecución contable final de pagos y transferencias.</v>
      </c>
      <c r="F50" s="1" t="str">
        <v>v1.0.0</v>
      </c>
      <c r="G50" s="1" t="str">
        <v>Activa</v>
      </c>
    </row>
    <row r="51">
      <c r="A51" s="1" t="str">
        <v>OP-0052</v>
      </c>
      <c r="B51" s="1" t="str">
        <v>D0028</v>
      </c>
      <c r="C51" s="1" t="str">
        <v>POST</v>
      </c>
      <c r="D51" s="1" t="str">
        <v>Initiate</v>
      </c>
      <c r="E51" s="1" t="str">
        <v>Inicio y registro del proceso de pago.</v>
      </c>
      <c r="F51" s="1" t="str">
        <v>v1.0.0</v>
      </c>
      <c r="G51" s="1" t="str">
        <v>Activa</v>
      </c>
    </row>
    <row r="52">
      <c r="A52" s="1" t="str">
        <v>OP-0053</v>
      </c>
      <c r="B52" s="1" t="str">
        <v>D0017</v>
      </c>
      <c r="C52" s="1" t="str">
        <v>POST</v>
      </c>
      <c r="D52" s="1" t="str">
        <v>Create</v>
      </c>
      <c r="E52" s="1" t="str">
        <v>Registro y administración de órdenes de pago.</v>
      </c>
      <c r="F52" s="1" t="str">
        <v>v1.0.0</v>
      </c>
      <c r="G52" s="1" t="str">
        <v>Activa</v>
      </c>
    </row>
    <row r="53">
      <c r="A53" s="1" t="str">
        <v>OP-0054</v>
      </c>
      <c r="B53" s="1" t="str">
        <v>D0017</v>
      </c>
      <c r="C53" s="1" t="str">
        <v>GET</v>
      </c>
      <c r="D53" s="1" t="str">
        <v>Retrieve</v>
      </c>
      <c r="E53" s="1" t="str">
        <v>Registro y administración de órdenes de pago.</v>
      </c>
      <c r="F53" s="1" t="str">
        <v>v1.0.0</v>
      </c>
      <c r="G53" s="1" t="str">
        <v>Activa</v>
      </c>
    </row>
    <row r="54">
      <c r="A54" s="1" t="str">
        <v>OP-0055</v>
      </c>
      <c r="B54" s="1" t="str">
        <v>D0017</v>
      </c>
      <c r="C54" s="1" t="str">
        <v>PUT</v>
      </c>
      <c r="D54" s="1" t="str">
        <v>Update</v>
      </c>
      <c r="E54" s="1" t="str">
        <v>Registro y administración de órdenes de pago.</v>
      </c>
      <c r="F54" s="1" t="str">
        <v>v1.0.0</v>
      </c>
      <c r="G54" s="1" t="str">
        <v>Activa</v>
      </c>
    </row>
    <row r="55">
      <c r="A55" s="1" t="str">
        <v>OP-0057</v>
      </c>
      <c r="B55" s="1" t="str">
        <v>D0021</v>
      </c>
      <c r="C55" s="1" t="str">
        <v>GET</v>
      </c>
      <c r="D55" s="1" t="str">
        <v>Retrieve</v>
      </c>
      <c r="E55" s="1" t="str">
        <v>Consulta de saldo, movimientos y ejecución de cargos/abonos sobre cuentas de ahorro.</v>
      </c>
      <c r="F55" s="1" t="str">
        <v>v1.0.0</v>
      </c>
      <c r="G55" s="1" t="str">
        <v>Activa</v>
      </c>
    </row>
    <row r="56">
      <c r="A56" s="1" t="str">
        <v>OP-0058</v>
      </c>
      <c r="B56" s="1" t="str">
        <v>D0021</v>
      </c>
      <c r="C56" s="1" t="str">
        <v>POST</v>
      </c>
      <c r="D56" s="1" t="str">
        <v>Execute</v>
      </c>
      <c r="E56" s="1" t="str">
        <v>Consulta de saldo, movimientos y ejecución de cargos/abonos sobre cuentas de ahorro.</v>
      </c>
      <c r="F56" s="1" t="str">
        <v>v1.0.0</v>
      </c>
      <c r="G56" s="1" t="str">
        <v>Activa</v>
      </c>
    </row>
    <row r="57">
      <c r="A57" s="1" t="str">
        <v>OP-0059</v>
      </c>
      <c r="B57" s="1" t="str">
        <v>D0003</v>
      </c>
      <c r="C57" s="1" t="str">
        <v>GET</v>
      </c>
      <c r="D57" s="1" t="str">
        <v>/CustomerProductandServiceDirectory/{customerproductandservicedirectoryid}/Retrieve</v>
      </c>
      <c r="E57" s="1" t="str">
        <v>Evaluacion de Fraudes</v>
      </c>
      <c r="F57" s="1" t="str">
        <v>v1.0.0</v>
      </c>
      <c r="G57" s="1" t="str">
        <v>Activa</v>
      </c>
    </row>
    <row r="58">
      <c r="A58" s="1" t="str">
        <v>OP-0060</v>
      </c>
      <c r="B58" s="1" t="str">
        <v>D0032</v>
      </c>
      <c r="C58" s="1" t="str">
        <v>GET</v>
      </c>
      <c r="D58" s="1" t="str">
        <v>/FraudEvaluation/{fraudevaluationid}/Retrieve</v>
      </c>
      <c r="E58" s="1" t="str">
        <v>Evaluacion de Fraudes</v>
      </c>
      <c r="F58" s="1" t="str">
        <v>v1.0.0</v>
      </c>
      <c r="G58" s="1" t="str">
        <v>Activa</v>
      </c>
    </row>
    <row r="59">
      <c r="A59" s="1" t="str">
        <v>OP-0061</v>
      </c>
      <c r="B59" s="1" t="str">
        <v>D0034</v>
      </c>
      <c r="C59" s="1" t="str">
        <v>PUT</v>
      </c>
      <c r="D59" s="1" t="str">
        <v>/FraudDiagnosis/{frauddiagnosisid}/Update</v>
      </c>
      <c r="E59" s="1" t="str">
        <v>Evaluacion de Fraudes</v>
      </c>
      <c r="F59" s="1" t="str">
        <v>v1.0.0</v>
      </c>
      <c r="G59" s="1" t="str">
        <v>Activa</v>
      </c>
    </row>
    <row r="60">
      <c r="A60" s="1" t="str">
        <v>OP-0062</v>
      </c>
      <c r="B60" s="1" t="str">
        <v>D0007</v>
      </c>
      <c r="C60" s="1" t="str">
        <v>GET</v>
      </c>
      <c r="D60" s="1" t="str">
        <v>/PartyReferenceDataDirectory/{partyreferencedatadirectoryid}/Retrieve</v>
      </c>
      <c r="E60" s="1" t="str">
        <v>Evaluacion de Fraudes</v>
      </c>
      <c r="F60" s="1" t="str">
        <v>v1.0.0</v>
      </c>
      <c r="G60" s="1" t="str">
        <v>Activa</v>
      </c>
    </row>
    <row r="61">
      <c r="A61" s="1" t="str">
        <v>OP-0063</v>
      </c>
      <c r="B61" s="1" t="str">
        <v>D0007</v>
      </c>
      <c r="C61" s="1" t="str">
        <v>GET</v>
      </c>
      <c r="D61" s="1" t="str">
        <v>/PartyReferenceDataDirectory/{partyreferencedatadirectoryid}/Demographics/{demographicsid}/Retrieve</v>
      </c>
      <c r="E61" s="1" t="str">
        <v>Evaluacion de Fraudes</v>
      </c>
      <c r="F61" s="1" t="str">
        <v>v1.0.0</v>
      </c>
      <c r="G61" s="1" t="str">
        <v>Activa</v>
      </c>
    </row>
    <row r="62">
      <c r="A62" s="1" t="str">
        <v>OP-0064</v>
      </c>
      <c r="B62" s="1" t="str">
        <v>D0007</v>
      </c>
      <c r="C62" s="1" t="str">
        <v>GET</v>
      </c>
      <c r="D62" s="1" t="str">
        <v>Retrive</v>
      </c>
      <c r="E62" s="1" t="str">
        <v>Determinar si un cliente es Independiente o Dependiente</v>
      </c>
      <c r="F62" s="1" t="str">
        <v>v1.0.0</v>
      </c>
      <c r="G62" s="1" t="str">
        <v>Activa</v>
      </c>
    </row>
    <row r="63">
      <c r="A63" s="1" t="str">
        <v>OP-0065</v>
      </c>
      <c r="B63" s="1" t="str">
        <v>D0007</v>
      </c>
      <c r="C63" s="1" t="str">
        <v>GET</v>
      </c>
      <c r="D63" s="1" t="str">
        <v>CR /Retrive; BQ Reference /Retrieve</v>
      </c>
      <c r="E63" s="1" t="str">
        <v>Actualizar datos de contacto del cliente</v>
      </c>
      <c r="F63" s="1" t="str">
        <v>v1.0.0</v>
      </c>
      <c r="G63" s="1" t="str">
        <v>Activa</v>
      </c>
    </row>
    <row r="64">
      <c r="A64" s="1" t="str">
        <v>OP-0066</v>
      </c>
      <c r="B64" s="1" t="str">
        <v>D0007</v>
      </c>
      <c r="C64" s="1" t="str">
        <v>PUT</v>
      </c>
      <c r="D64" s="1" t="str">
        <v>/Update</v>
      </c>
      <c r="E64" s="1" t="str">
        <v>Actualizar datos de contacto del cliente</v>
      </c>
      <c r="F64" s="1" t="str">
        <v>v1.0.0</v>
      </c>
      <c r="G64" s="1" t="str">
        <v>Activa</v>
      </c>
    </row>
    <row r="65" xml:space="preserve">
      <c r="A65" s="1" t="str">
        <v>OP-0067</v>
      </c>
      <c r="B65" s="1" t="str">
        <v>D0110</v>
      </c>
      <c r="C65" s="1" t="str">
        <v>POST</v>
      </c>
      <c r="D65" s="1" t="str">
        <v>CR /Initiate; CR /Retrive; BQ Relationship /Capture;</v>
      </c>
      <c r="E65" s="1" t="str" xml:space="preserve">
        <v xml:space="preserve">Actualizar datos de contacto del cliente 
Guardar trazabilidad del cambio.</v>
      </c>
      <c r="F65" s="1" t="str">
        <v>v1.0.0</v>
      </c>
      <c r="G65" s="1" t="str">
        <v>Activa</v>
      </c>
    </row>
    <row r="66" xml:space="preserve">
      <c r="A66" s="1" t="str">
        <v>OP-0068</v>
      </c>
      <c r="B66" s="1" t="str">
        <v>D0013</v>
      </c>
      <c r="C66" s="1" t="str">
        <v>POST</v>
      </c>
      <c r="D66" s="1" t="str">
        <v>CR /Evaluate</v>
      </c>
      <c r="E66" s="1" t="str" xml:space="preserve">
        <v xml:space="preserve">Actualizar datos de contacto del cliente
Gestionar los acuerdos formales entre el cliente y el banco</v>
      </c>
      <c r="F66" s="1" t="str">
        <v>v1.0.0</v>
      </c>
      <c r="G66" s="1" t="str">
        <v>Activa</v>
      </c>
    </row>
    <row r="67" xml:space="preserve">
      <c r="A67" s="1" t="str">
        <v>OP-0069</v>
      </c>
      <c r="B67" s="1" t="str">
        <v>D0013</v>
      </c>
      <c r="C67" s="1" t="str">
        <v>GET</v>
      </c>
      <c r="D67" s="1" t="str">
        <v>/Retrieve</v>
      </c>
      <c r="E67" s="1" t="str" xml:space="preserve">
        <v xml:space="preserve">Actualizar datos de contacto del cliente
Gestionar los acuerdos formales entre el cliente y el banco</v>
      </c>
      <c r="F67" s="1" t="str">
        <v>v1.0.0</v>
      </c>
      <c r="G67" s="1" t="str">
        <v>Activa</v>
      </c>
    </row>
    <row r="68" xml:space="preserve">
      <c r="A68" s="1" t="str">
        <v>OP-0070</v>
      </c>
      <c r="B68" s="1" t="str">
        <v>D0013</v>
      </c>
      <c r="C68" s="1" t="str">
        <v>POST</v>
      </c>
      <c r="D68" s="1" t="str">
        <v>/Update; BQ LegalTerms /Evaluate</v>
      </c>
      <c r="E68" s="1" t="str" xml:space="preserve">
        <v xml:space="preserve">Actualizar datos de contacto del cliente
Gestionar los acuerdos formales entre el cliente y el banco</v>
      </c>
      <c r="F68" s="1" t="str">
        <v>v1.0.0</v>
      </c>
      <c r="G68" s="1" t="str">
        <v>Activa</v>
      </c>
    </row>
    <row r="69" xml:space="preserve">
      <c r="A69" s="1" t="str">
        <v>OP-0071</v>
      </c>
      <c r="B69" s="1" t="str">
        <v>D0013</v>
      </c>
      <c r="C69" s="1" t="str">
        <v>PUT</v>
      </c>
      <c r="D69" s="1" t="str">
        <v>/Update</v>
      </c>
      <c r="E69" s="1" t="str" xml:space="preserve">
        <v xml:space="preserve">Actualizar datos de contacto del cliente
Gestionar los acuerdos formales entre el cliente y el banco</v>
      </c>
      <c r="F69" s="1" t="str">
        <v>v1.0.0</v>
      </c>
      <c r="G69" s="1" t="str">
        <v>Activa</v>
      </c>
    </row>
    <row r="70" xml:space="preserve">
      <c r="A70" s="1" t="str">
        <v>OP-0072</v>
      </c>
      <c r="B70" s="1" t="str">
        <v>D0013</v>
      </c>
      <c r="C70" s="1" t="str">
        <v>PUT</v>
      </c>
      <c r="D70" s="1" t="str">
        <v>/Retrieve; BQ RegulatoryTerms /Update</v>
      </c>
      <c r="E70" s="1" t="str" xml:space="preserve">
        <v xml:space="preserve">Actualizar datos de contacto del cliente
Gestionar los acuerdos formales entre el cliente y el banco</v>
      </c>
      <c r="F70" s="1" t="str">
        <v>v1.0.0</v>
      </c>
      <c r="G70" s="1" t="str">
        <v>Activa</v>
      </c>
    </row>
    <row r="71" xml:space="preserve">
      <c r="A71" s="1" t="str">
        <v>OP-0073</v>
      </c>
      <c r="B71" s="1" t="str">
        <v>D0016</v>
      </c>
      <c r="C71" s="1" t="str">
        <v>POST</v>
      </c>
      <c r="D71" s="1" t="str">
        <v>CR /Initiate</v>
      </c>
      <c r="E71" s="1" t="str" xml:space="preserve">
        <v xml:space="preserve">Actualizar datos de contacto del cliente
Generar Documentos Contractuales</v>
      </c>
      <c r="F71" s="1" t="str">
        <v>v1.0.0</v>
      </c>
      <c r="G71" s="1" t="str">
        <v>Activa</v>
      </c>
    </row>
    <row r="72" xml:space="preserve">
      <c r="A72" s="1" t="str">
        <v>OP-0074</v>
      </c>
      <c r="B72" s="1" t="str">
        <v>D0016</v>
      </c>
      <c r="C72" s="1" t="str">
        <v>POST</v>
      </c>
      <c r="D72" s="1" t="str">
        <v>/Notify</v>
      </c>
      <c r="E72" s="1" t="str" xml:space="preserve">
        <v xml:space="preserve">Actualizar datos de contacto del cliente
Generar Documentos Contractuales</v>
      </c>
      <c r="F72" s="1" t="str">
        <v>v1.0.0</v>
      </c>
      <c r="G72" s="1" t="str">
        <v>Activa</v>
      </c>
    </row>
    <row r="73" xml:space="preserve">
      <c r="A73" s="1" t="str">
        <v>OP-0075</v>
      </c>
      <c r="B73" s="1" t="str">
        <v>D0024</v>
      </c>
      <c r="C73" s="1" t="str">
        <v>POST</v>
      </c>
      <c r="D73" s="1" t="str">
        <v>CR /Evaluate</v>
      </c>
      <c r="E73" s="1" t="str" xml:space="preserve">
        <v xml:space="preserve">Actualizar datos de contacto del cliente
Generación, envío y validación de OTP</v>
      </c>
      <c r="F73" s="1" t="str">
        <v>v1.0.0</v>
      </c>
      <c r="G73" s="1" t="str">
        <v>Activa</v>
      </c>
    </row>
    <row r="74" xml:space="preserve">
      <c r="A74" s="1" t="str">
        <v>OP-0076</v>
      </c>
      <c r="B74" s="1" t="str">
        <v>D0024</v>
      </c>
      <c r="C74" s="1" t="str">
        <v>POST</v>
      </c>
      <c r="D74" s="1" t="str">
        <v>/Grant; BQ Password /Evaluate</v>
      </c>
      <c r="E74" s="1" t="str" xml:space="preserve">
        <v xml:space="preserve">Actualizar datos de contacto del cliente
Generación, envío y validación de OTP</v>
      </c>
      <c r="F74" s="1" t="str">
        <v>v1.0.0</v>
      </c>
      <c r="G74" s="1" t="str">
        <v>Activa</v>
      </c>
    </row>
    <row r="75">
      <c r="A75" s="1" t="str">
        <v>OP-0077</v>
      </c>
      <c r="B75" s="1" t="str">
        <v>D0025</v>
      </c>
      <c r="C75" s="1" t="str">
        <v>POST</v>
      </c>
      <c r="D75" s="1" t="str">
        <v>CR /Evaluate</v>
      </c>
      <c r="E75" s="1" t="str">
        <v>Actualizar datos de contacto del cliente</v>
      </c>
      <c r="F75" s="1" t="str">
        <v>v1.0.0</v>
      </c>
      <c r="G75" s="1" t="str">
        <v>Activa</v>
      </c>
    </row>
    <row r="76">
      <c r="A76" s="1" t="str">
        <v>OP-0078</v>
      </c>
      <c r="B76" s="1" t="str">
        <v>D0025</v>
      </c>
      <c r="C76" s="1" t="str">
        <v>POST</v>
      </c>
      <c r="D76" s="1" t="str">
        <v>/Update; BQ Restrictions /Evaluate</v>
      </c>
      <c r="E76" s="1" t="str">
        <v>Actualizar datos de contacto del cliente</v>
      </c>
      <c r="F76" s="1" t="str">
        <v>v1.0.0</v>
      </c>
      <c r="G76" s="1" t="str">
        <v>Activa</v>
      </c>
    </row>
    <row r="77">
      <c r="A77" s="1" t="str">
        <v>OP-0079</v>
      </c>
      <c r="B77" s="1" t="str">
        <v>D0025</v>
      </c>
      <c r="C77" s="1" t="str">
        <v>POST</v>
      </c>
      <c r="D77" s="1" t="str">
        <v>/Update; BQ Preferences /Evaluate</v>
      </c>
      <c r="E77" s="1" t="str">
        <v>Actualizar datos de contacto del cliente</v>
      </c>
      <c r="F77" s="1" t="str">
        <v>v1.0.0</v>
      </c>
      <c r="G77" s="1" t="str">
        <v>Activa</v>
      </c>
    </row>
    <row r="78">
      <c r="A78" s="1" t="str">
        <v>OP-0080</v>
      </c>
      <c r="B78" s="1" t="str">
        <v>D0025</v>
      </c>
      <c r="C78" s="1" t="str">
        <v>PUT</v>
      </c>
      <c r="D78" s="1" t="str">
        <v>/Update.</v>
      </c>
      <c r="E78" s="1" t="str">
        <v>Actualizar datos de contacto del cliente</v>
      </c>
      <c r="F78" s="1" t="str">
        <v>v1.0.0</v>
      </c>
      <c r="G78" s="1" t="str">
        <v>Activa</v>
      </c>
    </row>
    <row r="79">
      <c r="A79" s="1" t="str">
        <v>OP-0081</v>
      </c>
      <c r="B79" s="1" t="str">
        <v>D0027</v>
      </c>
      <c r="C79" s="1" t="str">
        <v/>
      </c>
      <c r="D79" s="1" t="str">
        <v>Async</v>
      </c>
      <c r="E79" s="1" t="str">
        <v>Actualizar datos de contacto del cliente</v>
      </c>
      <c r="F79" s="1" t="str">
        <v>v1.0.0</v>
      </c>
      <c r="G79" s="1" t="str">
        <v>Activa</v>
      </c>
    </row>
    <row r="80" xml:space="preserve">
      <c r="A80" s="1" t="str">
        <v>OP-0082</v>
      </c>
      <c r="B80" s="1" t="str">
        <v>D0115</v>
      </c>
      <c r="C80" s="1" t="str">
        <v/>
      </c>
      <c r="D80" s="1" t="str">
        <v>Generar Simulacion</v>
      </c>
      <c r="E80" s="1" t="str" xml:space="preserve">
        <v xml:space="preserve">Generar Simulacion
Obtener Cronograma Simulacion
Obtener Dias Pago Simulacion</v>
      </c>
      <c r="F80" s="1" t="str">
        <v>v1.0.0</v>
      </c>
      <c r="G80" s="1" t="str">
        <v>Activa</v>
      </c>
    </row>
    <row r="81" xml:space="preserve">
      <c r="A81" s="1" t="str">
        <v>OP-0083</v>
      </c>
      <c r="B81" s="1" t="str">
        <v>D0115</v>
      </c>
      <c r="C81" s="1" t="str">
        <v/>
      </c>
      <c r="D81" s="1" t="str">
        <v>Obtener Cronograma Simulacion</v>
      </c>
      <c r="E81" s="1" t="str" xml:space="preserve">
        <v xml:space="preserve">Generar Simulacion
Obtener Cronograma Simulacion
Obtener Dias Pago Simulacion</v>
      </c>
      <c r="F81" s="1" t="str">
        <v>v1.0.0</v>
      </c>
      <c r="G81" s="1" t="str">
        <v>Activa</v>
      </c>
    </row>
    <row r="82" xml:space="preserve">
      <c r="A82" s="1" t="str">
        <v>OP-0084</v>
      </c>
      <c r="B82" s="1" t="str">
        <v>D0115</v>
      </c>
      <c r="C82" s="1" t="str">
        <v/>
      </c>
      <c r="D82" s="1" t="str">
        <v>Obtener Dias Pago Simulacion</v>
      </c>
      <c r="E82" s="1" t="str" xml:space="preserve">
        <v xml:space="preserve">Generar Simulacion
Obtener Cronograma Simulacion
Obtener Dias Pago Simulacion</v>
      </c>
      <c r="F82" s="1" t="str">
        <v>v1.0.0</v>
      </c>
      <c r="G82" s="1" t="str">
        <v>Activa</v>
      </c>
    </row>
    <row r="83">
      <c r="A83" s="1" t="str">
        <v>OP-0085</v>
      </c>
      <c r="B83" s="1" t="str">
        <v>D0116</v>
      </c>
      <c r="C83" s="1" t="str">
        <v/>
      </c>
      <c r="D83" s="1" t="str">
        <v>Recuperar Informacion Topaz</v>
      </c>
      <c r="E83" s="1" t="str">
        <v>Recuperar Informacion Topaz</v>
      </c>
      <c r="F83" s="1" t="str">
        <v>v1.0.0</v>
      </c>
      <c r="G83" s="1" t="str">
        <v>Activa</v>
      </c>
    </row>
    <row r="84">
      <c r="A84" s="1" t="str">
        <v>OP-0086</v>
      </c>
      <c r="B84" s="1" t="str">
        <v>D0117</v>
      </c>
      <c r="C84" s="1" t="str">
        <v/>
      </c>
      <c r="D84" s="1" t="str">
        <v>Generar Desembolso</v>
      </c>
      <c r="E84" s="1" t="str">
        <v>Generar Desembolso</v>
      </c>
      <c r="F84" s="1" t="str">
        <v>v1.0.0</v>
      </c>
      <c r="G84" s="1" t="str">
        <v>Activa</v>
      </c>
    </row>
    <row r="85">
      <c r="A85" s="1" t="str">
        <v>OP-0087</v>
      </c>
      <c r="B85" s="1" t="str">
        <v>D0118</v>
      </c>
      <c r="C85" s="1" t="str">
        <v/>
      </c>
      <c r="D85" s="1" t="str">
        <v>Generar Desembolso Orquestador</v>
      </c>
      <c r="E85" s="1" t="str">
        <v>Generar Desembolso Orquestador</v>
      </c>
      <c r="F85" s="1" t="str">
        <v>v1.0.0</v>
      </c>
      <c r="G85" s="1" t="str">
        <v>Activa</v>
      </c>
    </row>
    <row r="86">
      <c r="A86" s="1" t="str">
        <v>OP-0088</v>
      </c>
      <c r="B86" s="1" t="str">
        <v>D0119</v>
      </c>
      <c r="C86" s="1" t="str">
        <v/>
      </c>
      <c r="D86" s="1" t="str">
        <v>Generar Documentos</v>
      </c>
      <c r="E86" s="1" t="str">
        <v>Generar Documentos</v>
      </c>
      <c r="F86" s="1" t="str">
        <v>v1.0.0</v>
      </c>
      <c r="G86" s="1" t="str">
        <v>Activa</v>
      </c>
    </row>
    <row r="87">
      <c r="A87" s="1" t="str">
        <v>OP-0089</v>
      </c>
      <c r="B87" s="1" t="str">
        <v>D0120</v>
      </c>
      <c r="C87" s="1" t="str">
        <v/>
      </c>
      <c r="D87" s="1" t="str">
        <v>Enviar Respuesta Desembolso</v>
      </c>
      <c r="E87" s="1" t="str">
        <v>Enviar Respuesta Desembolso</v>
      </c>
      <c r="F87" s="1" t="str">
        <v>v1.0.0</v>
      </c>
      <c r="G87" s="1" t="str">
        <v>Activa</v>
      </c>
    </row>
    <row r="88">
      <c r="A88" s="1" t="str">
        <v>OP-0090</v>
      </c>
      <c r="B88" s="1" t="str">
        <v>D0121</v>
      </c>
      <c r="C88" s="1" t="str">
        <v/>
      </c>
      <c r="D88" s="1" t="str">
        <v>evaluarInformacionSesion</v>
      </c>
      <c r="E88" s="1" t="str">
        <v>Evaluacion de Fraudes</v>
      </c>
      <c r="F88" s="1" t="str">
        <v>v1.0.0</v>
      </c>
      <c r="G88" s="1" t="str">
        <v>Activa</v>
      </c>
    </row>
    <row r="89">
      <c r="A89" s="1" t="str">
        <v>OP-0091</v>
      </c>
      <c r="B89" s="1" t="str">
        <v>D0121</v>
      </c>
      <c r="C89" s="1" t="str">
        <v/>
      </c>
      <c r="D89" s="1" t="str">
        <v>evaluarInformacionMonetaria</v>
      </c>
      <c r="E89" s="1" t="str">
        <v>Evaluacion de Fraudes</v>
      </c>
      <c r="F89" s="1" t="str">
        <v>v1.0.0</v>
      </c>
      <c r="G89" s="1" t="str">
        <v>Activa</v>
      </c>
    </row>
    <row r="90">
      <c r="A90" s="1" t="str">
        <v>OP-0092</v>
      </c>
      <c r="B90" s="1" t="str">
        <v>D0121</v>
      </c>
      <c r="C90" s="1" t="str">
        <v/>
      </c>
      <c r="D90" s="1" t="str">
        <v>notificarActualizacionCredenciales</v>
      </c>
      <c r="E90" s="1" t="str">
        <v>Evaluacion de Fraudes</v>
      </c>
      <c r="F90" s="1" t="str">
        <v>v1.0.0</v>
      </c>
      <c r="G90" s="1" t="str">
        <v>Activa</v>
      </c>
    </row>
    <row r="91">
      <c r="A91" s="1" t="str">
        <v>OP-0093</v>
      </c>
      <c r="B91" s="1" t="str">
        <v>D0121</v>
      </c>
      <c r="C91" s="1" t="str">
        <v/>
      </c>
      <c r="D91" s="1" t="str">
        <v>notificarActualizacionEmail</v>
      </c>
      <c r="E91" s="1" t="str">
        <v>Evaluacion de Fraudes</v>
      </c>
      <c r="F91" s="1" t="str">
        <v>v1.0.0</v>
      </c>
      <c r="G91" s="1" t="str">
        <v>Activa</v>
      </c>
    </row>
    <row r="92">
      <c r="A92" s="1" t="str">
        <v>OP-0094</v>
      </c>
      <c r="B92" s="1" t="str">
        <v>D0121</v>
      </c>
      <c r="C92" s="1" t="str">
        <v/>
      </c>
      <c r="D92" s="1" t="str">
        <v>bloquearUsuarioDigital</v>
      </c>
      <c r="E92" s="1" t="str">
        <v>Evaluacion de Fraudes</v>
      </c>
      <c r="F92" s="1" t="str">
        <v>v1.0.0</v>
      </c>
      <c r="G92" s="1" t="str">
        <v>Activa</v>
      </c>
    </row>
    <row r="93">
      <c r="A93" s="1" t="str">
        <v>OP-0095</v>
      </c>
      <c r="B93" s="1" t="str">
        <v>D0121</v>
      </c>
      <c r="C93" s="1" t="str">
        <v/>
      </c>
      <c r="D93" s="1" t="str">
        <v>desbloquearUsuarioDigital</v>
      </c>
      <c r="E93" s="1" t="str">
        <v>Evaluacion de Fraudes</v>
      </c>
      <c r="F93" s="1" t="str">
        <v>v1.0.0</v>
      </c>
      <c r="G93" s="1" t="str">
        <v>Activa</v>
      </c>
    </row>
    <row r="94">
      <c r="A94" s="1" t="str">
        <v>OP-0096</v>
      </c>
      <c r="B94" s="1" t="str">
        <v>D0121</v>
      </c>
      <c r="C94" s="1" t="str">
        <v/>
      </c>
      <c r="D94" s="1" t="str">
        <v>cerrarSesionUsuarioDigital</v>
      </c>
      <c r="E94" s="1" t="str">
        <v>Evaluacion de Fraudes</v>
      </c>
      <c r="F94" s="1" t="str">
        <v>v1.0.0</v>
      </c>
      <c r="G94" s="1" t="str">
        <v>Activa</v>
      </c>
    </row>
    <row r="95">
      <c r="A95" s="1" t="str">
        <v>OP-0097</v>
      </c>
      <c r="B95" s="1" t="str">
        <v>D0122</v>
      </c>
      <c r="C95" s="1" t="str">
        <v/>
      </c>
      <c r="D95" s="1" t="str">
        <v>listar</v>
      </c>
      <c r="E95" s="1" t="str">
        <v>Desembolso de creditos</v>
      </c>
      <c r="F95" s="1" t="str">
        <v>v1.0.0</v>
      </c>
      <c r="G95" s="1" t="str">
        <v>Activa</v>
      </c>
    </row>
    <row r="96">
      <c r="A96" s="1" t="str">
        <v>OP-0098</v>
      </c>
      <c r="B96" s="1" t="str">
        <v>D0123</v>
      </c>
      <c r="C96" s="1" t="str">
        <v/>
      </c>
      <c r="D96" s="1" t="str">
        <v>validar</v>
      </c>
      <c r="E96" s="1" t="str">
        <v>Gestion de pagos de prestamo</v>
      </c>
      <c r="F96" s="1" t="str">
        <v>v1.0.0</v>
      </c>
      <c r="G96" s="1" t="str">
        <v>Activa</v>
      </c>
    </row>
    <row r="97">
      <c r="A97" s="1" t="str">
        <v>OP-0099</v>
      </c>
      <c r="B97" s="1" t="str">
        <v>D0129</v>
      </c>
      <c r="C97" s="1" t="str">
        <v>POST</v>
      </c>
      <c r="D97" s="1" t="str">
        <v>/api/sd/customer-case-mgmt/v1/create</v>
      </c>
      <c r="E97" s="1" t="str">
        <v>registra información de reclamos de clientes</v>
      </c>
      <c r="F97" s="1" t="str">
        <v>v1.0.0</v>
      </c>
      <c r="G97" s="1" t="str">
        <v>Activa</v>
      </c>
    </row>
    <row r="98">
      <c r="A98" s="1" t="str">
        <v>OP-0100</v>
      </c>
      <c r="B98" s="1" t="str">
        <v>D0130</v>
      </c>
      <c r="C98" s="1" t="str">
        <v>POST</v>
      </c>
      <c r="D98" s="1" t="str">
        <v>/api/exp/web/portalweb/customer-case-mgmt/v1/create</v>
      </c>
      <c r="E98" s="1" t="str">
        <v>registra información de reclamos de clientes</v>
      </c>
      <c r="F98" s="1" t="str">
        <v>v1.0.0</v>
      </c>
      <c r="G98" s="1" t="str">
        <v>Activa</v>
      </c>
    </row>
    <row r="99">
      <c r="A99" s="1" t="str">
        <v>OP-0101</v>
      </c>
      <c r="B99" s="1" t="str">
        <v>D0131</v>
      </c>
      <c r="C99" s="1" t="str">
        <v>POST</v>
      </c>
      <c r="D99" s="1" t="str">
        <v>/api/sys/int/registrodeleads/customer-case-mgmt-create/v1/create</v>
      </c>
      <c r="E99" s="1" t="str">
        <v>registra información de reclamos de clientes</v>
      </c>
      <c r="F99" s="1" t="str">
        <v>v1.0.0</v>
      </c>
      <c r="G99" s="1" t="str">
        <v>Activa</v>
      </c>
    </row>
    <row r="100">
      <c r="A100" s="1" t="str">
        <v>OP-0102</v>
      </c>
      <c r="B100" s="1" t="str">
        <v>D0008</v>
      </c>
      <c r="C100" s="1" t="str">
        <v>POST</v>
      </c>
      <c r="D100" s="1" t="str">
        <v>/evaluate</v>
      </c>
      <c r="E100" s="1" t="str">
        <v/>
      </c>
      <c r="F100" s="1" t="str">
        <v>v1.0.0</v>
      </c>
      <c r="G100" s="1" t="str">
        <v>Activa</v>
      </c>
    </row>
    <row r="101">
      <c r="A101" s="1" t="str">
        <v>OP-0103</v>
      </c>
      <c r="B101" s="1" t="str">
        <v>D0008</v>
      </c>
      <c r="C101" s="1" t="str">
        <v>GET</v>
      </c>
      <c r="D101" s="1" t="str">
        <v>/{underwritingid}/retrieve</v>
      </c>
      <c r="E101" s="1" t="str">
        <v/>
      </c>
      <c r="F101" s="1" t="str">
        <v>v1.0.0</v>
      </c>
      <c r="G101" s="1" t="str">
        <v>Activa</v>
      </c>
    </row>
    <row r="102">
      <c r="A102" s="1" t="str">
        <v>OP-0104</v>
      </c>
      <c r="B102" s="1" t="str">
        <v>D0132</v>
      </c>
      <c r="C102" s="1" t="str">
        <v>GET</v>
      </c>
      <c r="D102" s="1" t="str">
        <v>/v1/party/retrieve</v>
      </c>
      <c r="E102" s="1" t="str">
        <v>consulta</v>
      </c>
      <c r="F102" s="1" t="str">
        <v>v1.0.0</v>
      </c>
      <c r="G102" s="1" t="str">
        <v>Activa</v>
      </c>
    </row>
  </sheetData>
  <ignoredErrors>
    <ignoredError numberStoredAsText="1" sqref="A1:G102"/>
  </ignoredErrors>
</worksheet>
</file>

<file path=xl/worksheets/sheet3.xml><?xml version="1.0" encoding="utf-8"?>
<worksheet xmlns="http://schemas.openxmlformats.org/spreadsheetml/2006/main" xmlns:r="http://schemas.openxmlformats.org/officeDocument/2006/relationships">
  <dimension ref="A1:AL223"/>
  <sheetViews>
    <sheetView workbookViewId="0"/>
  </sheetViews>
  <cols>
    <col min="1" max="1" width="14.83203125" customWidth="1"/>
    <col min="2" max="2" width="12.83203125" customWidth="1"/>
    <col min="3" max="3" width="12.83203125" customWidth="1"/>
    <col min="4" max="4" width="12.83203125" customWidth="1"/>
    <col min="5" max="5" width="12.83203125" customWidth="1"/>
    <col min="6" max="6" width="35.83203125" customWidth="1"/>
    <col min="7" max="7" width="18.83203125" customWidth="1"/>
    <col min="8" max="8" width="12.83203125" customWidth="1"/>
    <col min="9" max="9" width="15.83203125" customWidth="1"/>
    <col min="10" max="10" width="15.83203125" customWidth="1"/>
    <col min="11" max="11" width="21.83203125" customWidth="1"/>
    <col min="12" max="12" width="14.83203125" customWidth="1"/>
    <col min="13" max="13" width="16.83203125" customWidth="1"/>
    <col min="14" max="14" width="18.83203125" customWidth="1"/>
    <col min="15" max="15" width="23.83203125" customWidth="1"/>
    <col min="16" max="16" width="15.83203125" customWidth="1"/>
    <col min="17" max="17" width="23.83203125" customWidth="1"/>
    <col min="18" max="18" width="21.83203125" customWidth="1"/>
    <col min="19" max="19" width="15.83203125" customWidth="1"/>
    <col min="20" max="20" width="15.83203125" customWidth="1"/>
    <col min="21" max="21" width="17.83203125" customWidth="1"/>
    <col min="22" max="22" width="17.83203125" customWidth="1"/>
    <col min="23" max="23" width="13.83203125" customWidth="1"/>
    <col min="24" max="24" width="27.83203125" customWidth="1"/>
    <col min="25" max="25" width="25.83203125" customWidth="1"/>
    <col min="26" max="26" width="27.83203125" customWidth="1"/>
    <col min="27" max="27" width="21.83203125" customWidth="1"/>
    <col min="28" max="28" width="21.83203125" customWidth="1"/>
    <col min="29" max="29" width="13.83203125" customWidth="1"/>
    <col min="30" max="30" width="21.83203125" customWidth="1"/>
    <col min="31" max="31" width="25.83203125" customWidth="1"/>
    <col min="32" max="32" width="14.83203125" customWidth="1"/>
    <col min="33" max="33" width="18.83203125" customWidth="1"/>
    <col min="34" max="34" width="15.83203125" customWidth="1"/>
    <col min="35" max="35" width="18.83203125" customWidth="1"/>
    <col min="36" max="36" width="22.83203125" customWidth="1"/>
    <col min="37" max="37" width="30.83203125" customWidth="1"/>
    <col min="38" max="38" width="18.83203125" customWidth="1"/>
  </cols>
  <sheetData>
    <row r="1">
      <c r="A1" s="1" t="str">
        <v>ID Historial</v>
      </c>
      <c r="B1" s="1" t="str">
        <v>ID API</v>
      </c>
      <c r="C1" s="1" t="str">
        <v>Proyecto</v>
      </c>
      <c r="D1" s="1" t="str">
        <v>Tribu</v>
      </c>
      <c r="E1" s="1" t="str">
        <v>Acción</v>
      </c>
      <c r="F1" s="1" t="str">
        <v>Operaciones (Creadas/Modificadas)</v>
      </c>
      <c r="G1" s="1" t="str">
        <v>PO/Líder Usuario</v>
      </c>
      <c r="H1" s="1" t="str">
        <v>TTL</v>
      </c>
      <c r="I1" s="1" t="str">
        <v>Jefe Proyecto</v>
      </c>
      <c r="J1" s="1" t="str">
        <v>Líder Técnico</v>
      </c>
      <c r="K1" s="1" t="str">
        <v>Arquitecto Solución</v>
      </c>
      <c r="L1" s="1" t="str">
        <v>Consumidores</v>
      </c>
      <c r="M1" s="1" t="str">
        <v>Fecha Registro</v>
      </c>
      <c r="N1" s="1" t="str">
        <v>Fecha Fin Diseño</v>
      </c>
      <c r="O1" s="1" t="str">
        <v>Fecha Pase Desarrollo</v>
      </c>
      <c r="P1" s="1" t="str">
        <v>Fecha Pase QA</v>
      </c>
      <c r="Q1" s="1" t="str">
        <v>Fecha Pase Producción</v>
      </c>
      <c r="R1" s="1" t="str">
        <v>Quarter Publicación</v>
      </c>
      <c r="S1" s="1" t="str">
        <v>Estado_Actual</v>
      </c>
      <c r="T1" s="1" t="str">
        <v>Versión_Antes</v>
      </c>
      <c r="U1" s="1" t="str">
        <v>Versión_Después</v>
      </c>
      <c r="V1" s="1" t="str">
        <v>Breaking_Change</v>
      </c>
      <c r="W1" s="1" t="str">
        <v>Complejidad</v>
      </c>
      <c r="X1" s="1" t="str">
        <v>Justificación_Complejidad</v>
      </c>
      <c r="Y1" s="1" t="str">
        <v>Última_Modificación_Por</v>
      </c>
      <c r="Z1" s="1" t="str">
        <v>Fecha_Última_Modificación</v>
      </c>
      <c r="AA1" s="1" t="str">
        <v>Motivo_Modificación</v>
      </c>
      <c r="AB1" s="1" t="str">
        <v>Observaciones_Cruce</v>
      </c>
      <c r="AC1" s="1" t="str">
        <v>Comentarios</v>
      </c>
      <c r="AD1" s="1" t="str">
        <v>Etapa Planificación</v>
      </c>
      <c r="AE1" s="1" t="str">
        <v>Fecha Fin Planificación</v>
      </c>
      <c r="AF1" s="1" t="str">
        <v>Etapa Diseño</v>
      </c>
      <c r="AG1" s="1" t="str">
        <v>Etapa Desarrollo</v>
      </c>
      <c r="AH1" s="1" t="str">
        <v>Etapa Calidad</v>
      </c>
      <c r="AI1" s="1" t="str">
        <v>Etapa Producción</v>
      </c>
      <c r="AJ1" s="1" t="str">
        <v>Estado de Validación</v>
      </c>
      <c r="AK1" s="1" t="str">
        <v>Observación Torre de Control</v>
      </c>
      <c r="AL1" s="1" t="str">
        <v>Fecha Validación</v>
      </c>
    </row>
    <row r="2">
      <c r="A2" s="1" t="str">
        <v>HIST-0001</v>
      </c>
      <c r="B2" s="1" t="str">
        <v>D0001</v>
      </c>
      <c r="C2" s="1" t="str">
        <v>Satélite de Riesgos R1</v>
      </c>
      <c r="D2" s="1" t="str">
        <v/>
      </c>
      <c r="E2" s="1" t="str">
        <v>Creación</v>
      </c>
      <c r="F2" s="1" t="str">
        <v>OP-0001</v>
      </c>
      <c r="G2" s="1" t="str">
        <v>Vanessa Vera / Miguel García</v>
      </c>
      <c r="H2" s="1" t="str">
        <v>Nelson Cuba</v>
      </c>
      <c r="I2" s="1" t="str">
        <v>Paola Casanova</v>
      </c>
      <c r="J2" s="1" t="str">
        <v>Wilfredo Centurion / Carlos Zuñiga</v>
      </c>
      <c r="K2" s="1" t="str">
        <v>Alan Gutierrez</v>
      </c>
      <c r="L2" s="1" t="str">
        <v>nueva APP, CRM, Urpi Pro, Yape</v>
      </c>
      <c r="M2" s="1" t="str">
        <v>2026-07-07</v>
      </c>
      <c r="N2" s="1" t="str">
        <v/>
      </c>
      <c r="O2" s="1" t="str">
        <v/>
      </c>
      <c r="P2" s="1" t="str">
        <v/>
      </c>
      <c r="Q2" s="1" t="str">
        <v>2026-06-30</v>
      </c>
      <c r="R2" s="1" t="str">
        <f>IF(Q2="","","Q"&amp;ROUNDUP(MONTH(Q2)/3,0)&amp;"-"&amp;YEAR(Q2))</f>
        <v>Q2-2026</v>
      </c>
      <c r="S2" s="1" t="str">
        <v>Producción</v>
      </c>
      <c r="T2" s="1" t="str">
        <v/>
      </c>
      <c r="U2" s="1" t="str">
        <v/>
      </c>
      <c r="V2" s="1" t="str">
        <v/>
      </c>
      <c r="W2" s="1" t="str">
        <v>Media</v>
      </c>
      <c r="X2" s="1" t="str">
        <v/>
      </c>
      <c r="Y2" s="1" t="str">
        <v/>
      </c>
      <c r="Z2" s="1" t="str">
        <v>2026-07-07</v>
      </c>
      <c r="AA2" s="1" t="str">
        <v/>
      </c>
      <c r="AB2" s="1" t="str">
        <v/>
      </c>
      <c r="AC2" s="1" t="str">
        <v>Pasó en el Q2</v>
      </c>
      <c r="AD2" s="1" t="str">
        <v/>
      </c>
      <c r="AE2" s="1" t="str">
        <v/>
      </c>
      <c r="AF2" s="1" t="str">
        <v/>
      </c>
      <c r="AG2" s="1" t="str">
        <v>Finalizado</v>
      </c>
      <c r="AH2" s="1" t="str">
        <v>Finalizado</v>
      </c>
      <c r="AI2" s="1" t="str">
        <v/>
      </c>
      <c r="AJ2" s="1" t="str">
        <v/>
      </c>
      <c r="AK2" s="1" t="str">
        <v/>
      </c>
      <c r="AL2" s="1" t="str">
        <v/>
      </c>
    </row>
    <row r="3">
      <c r="A3" s="1" t="str">
        <v>HIST-0002</v>
      </c>
      <c r="B3" s="1" t="str">
        <v>D0002</v>
      </c>
      <c r="C3" s="1" t="str">
        <v>Satélite de Riesgos R1</v>
      </c>
      <c r="D3" s="1" t="str">
        <v/>
      </c>
      <c r="E3" s="1" t="str">
        <v>Creación</v>
      </c>
      <c r="F3" s="1" t="str">
        <v>OP-0002</v>
      </c>
      <c r="G3" s="1" t="str">
        <v>Vanessa Vera / Miguel García</v>
      </c>
      <c r="H3" s="1" t="str">
        <v>Nelson Cuba</v>
      </c>
      <c r="I3" s="1" t="str">
        <v>Paola Casanova</v>
      </c>
      <c r="J3" s="1" t="str">
        <v>Wilfredo Centurion / Carlos Zuñiga</v>
      </c>
      <c r="K3" s="1" t="str">
        <v>Alan Gutierrez</v>
      </c>
      <c r="L3" s="1" t="str">
        <v>nueva APP, CRM, Urpi Pro, Yape</v>
      </c>
      <c r="M3" s="1" t="str">
        <v>2026-07-07</v>
      </c>
      <c r="N3" s="1" t="str">
        <v/>
      </c>
      <c r="O3" s="1" t="str">
        <v/>
      </c>
      <c r="P3" s="1" t="str">
        <v/>
      </c>
      <c r="Q3" s="1" t="str">
        <v>2026-06-30</v>
      </c>
      <c r="R3" s="1" t="str">
        <f>IF(Q3="","","Q"&amp;ROUNDUP(MONTH(Q3)/3,0)&amp;"-"&amp;YEAR(Q3))</f>
        <v>Q2-2026</v>
      </c>
      <c r="S3" s="1" t="str">
        <v>Producción</v>
      </c>
      <c r="T3" s="1" t="str">
        <v/>
      </c>
      <c r="U3" s="1" t="str">
        <v/>
      </c>
      <c r="V3" s="1" t="str">
        <v/>
      </c>
      <c r="W3" s="1" t="str">
        <v>Media</v>
      </c>
      <c r="X3" s="1" t="str">
        <v/>
      </c>
      <c r="Y3" s="1" t="str">
        <v/>
      </c>
      <c r="Z3" s="1" t="str">
        <v>2026-07-07</v>
      </c>
      <c r="AA3" s="1" t="str">
        <v/>
      </c>
      <c r="AB3" s="1" t="str">
        <v/>
      </c>
      <c r="AC3" s="1" t="str">
        <v>Ya paso a prod en Q2</v>
      </c>
      <c r="AD3" s="1" t="str">
        <v/>
      </c>
      <c r="AE3" s="1" t="str">
        <v/>
      </c>
      <c r="AF3" s="1" t="str">
        <v/>
      </c>
      <c r="AG3" s="1" t="str">
        <v>Finalizado</v>
      </c>
      <c r="AH3" s="1" t="str">
        <v>Finalizado</v>
      </c>
      <c r="AI3" s="1" t="str">
        <v/>
      </c>
      <c r="AJ3" s="1" t="str">
        <v/>
      </c>
      <c r="AK3" s="1" t="str">
        <v/>
      </c>
      <c r="AL3" s="1" t="str">
        <v/>
      </c>
    </row>
    <row r="4">
      <c r="A4" s="1" t="str">
        <v>HIST-0003</v>
      </c>
      <c r="B4" s="1" t="str">
        <v>D0003</v>
      </c>
      <c r="C4" s="1" t="str">
        <v>Satélite de Riesgos R1</v>
      </c>
      <c r="D4" s="1" t="str">
        <v/>
      </c>
      <c r="E4" s="1" t="str">
        <v>Modificación</v>
      </c>
      <c r="F4" s="1" t="str">
        <v>OP-0003, OP-0004</v>
      </c>
      <c r="G4" s="1" t="str">
        <v>Vanessa Vera / Miguel García</v>
      </c>
      <c r="H4" s="1" t="str">
        <v>Nelson Cuba</v>
      </c>
      <c r="I4" s="1" t="str">
        <v>Paola Casanova</v>
      </c>
      <c r="J4" s="1" t="str">
        <v>Wilfredo Centurion / Carlos Zuñiga</v>
      </c>
      <c r="K4" s="1" t="str">
        <v>Alan Gutierrez</v>
      </c>
      <c r="L4" s="1" t="str">
        <v>nueva APP, CRM, Urpi Pro, Yape</v>
      </c>
      <c r="M4" s="1" t="str">
        <v>2026-07-07</v>
      </c>
      <c r="N4" s="1" t="str">
        <v/>
      </c>
      <c r="O4" s="1" t="str">
        <v/>
      </c>
      <c r="P4" s="1" t="str">
        <v/>
      </c>
      <c r="Q4" s="1" t="str">
        <v>2026-06-30</v>
      </c>
      <c r="R4" s="1" t="str">
        <f>IF(Q4="","","Q"&amp;ROUNDUP(MONTH(Q4)/3,0)&amp;"-"&amp;YEAR(Q4))</f>
        <v>Q2-2026</v>
      </c>
      <c r="S4" s="1" t="str">
        <v>Producción</v>
      </c>
      <c r="T4" s="1" t="str">
        <v/>
      </c>
      <c r="U4" s="1" t="str">
        <v/>
      </c>
      <c r="V4" s="1" t="str">
        <v/>
      </c>
      <c r="W4" s="1" t="str">
        <v>Media</v>
      </c>
      <c r="X4" s="1" t="str">
        <v/>
      </c>
      <c r="Y4" s="1" t="str">
        <v/>
      </c>
      <c r="Z4" s="1" t="str">
        <v>2026-07-07</v>
      </c>
      <c r="AA4" s="1" t="str">
        <v/>
      </c>
      <c r="AB4" s="1" t="str">
        <v/>
      </c>
      <c r="AC4" s="1" t="str">
        <v>lo modifico y paso en producción en el Q2</v>
      </c>
      <c r="AD4" s="1" t="str">
        <v/>
      </c>
      <c r="AE4" s="1" t="str">
        <v/>
      </c>
      <c r="AF4" s="1" t="str">
        <v/>
      </c>
      <c r="AG4" s="1" t="str">
        <v>Finalizado</v>
      </c>
      <c r="AH4" s="1" t="str">
        <v>Finalizado</v>
      </c>
      <c r="AI4" s="1" t="str">
        <v/>
      </c>
      <c r="AJ4" s="1" t="str">
        <v/>
      </c>
      <c r="AK4" s="1" t="str">
        <v/>
      </c>
      <c r="AL4" s="1" t="str">
        <v/>
      </c>
    </row>
    <row r="5">
      <c r="A5" s="1" t="str">
        <v>HIST-0004</v>
      </c>
      <c r="B5" s="1" t="str">
        <v>D0004</v>
      </c>
      <c r="C5" s="1" t="str">
        <v>Satélite de Riesgos R1</v>
      </c>
      <c r="D5" s="1" t="str">
        <v/>
      </c>
      <c r="E5" s="1" t="str">
        <v>Creación</v>
      </c>
      <c r="F5" s="1" t="str">
        <v>OP-0005, OP-0006, OP-0007, OP-0008, OP-0009</v>
      </c>
      <c r="G5" s="1" t="str">
        <v>Vanessa Vera / Miguel García</v>
      </c>
      <c r="H5" s="1" t="str">
        <v>Nelson Cuba</v>
      </c>
      <c r="I5" s="1" t="str">
        <v>Paola Casanova</v>
      </c>
      <c r="J5" s="1" t="str">
        <v>Wilfredo Centurion / Carlos Zuñiga</v>
      </c>
      <c r="K5" s="1" t="str">
        <v>Alan Gutierrez</v>
      </c>
      <c r="L5" s="1" t="str">
        <v>nueva APP, CRM, Urpi Pro, Yape</v>
      </c>
      <c r="M5" s="1" t="str">
        <v>2026-07-07</v>
      </c>
      <c r="N5" s="1" t="str">
        <v/>
      </c>
      <c r="O5" s="1" t="str">
        <v/>
      </c>
      <c r="P5" s="1" t="str">
        <v/>
      </c>
      <c r="Q5" s="1" t="str">
        <v>2026-06-30</v>
      </c>
      <c r="R5" s="1" t="str">
        <f>IF(Q5="","","Q"&amp;ROUNDUP(MONTH(Q5)/3,0)&amp;"-"&amp;YEAR(Q5))</f>
        <v>Q2-2026</v>
      </c>
      <c r="S5" s="1" t="str">
        <v>Producción</v>
      </c>
      <c r="T5" s="1" t="str">
        <v/>
      </c>
      <c r="U5" s="1" t="str">
        <v/>
      </c>
      <c r="V5" s="1" t="str">
        <v/>
      </c>
      <c r="W5" s="1" t="str">
        <v>Media</v>
      </c>
      <c r="X5" s="1" t="str">
        <v/>
      </c>
      <c r="Y5" s="1" t="str">
        <v/>
      </c>
      <c r="Z5" s="1" t="str">
        <v>2026-07-07</v>
      </c>
      <c r="AA5" s="1" t="str">
        <v/>
      </c>
      <c r="AB5" s="1" t="str">
        <v/>
      </c>
      <c r="AC5" s="1" t="str">
        <v/>
      </c>
      <c r="AD5" s="1" t="str">
        <v/>
      </c>
      <c r="AE5" s="1" t="str">
        <v/>
      </c>
      <c r="AF5" s="1" t="str">
        <v/>
      </c>
      <c r="AG5" s="1" t="str">
        <v>Finalizado</v>
      </c>
      <c r="AH5" s="1" t="str">
        <v>Finalizado</v>
      </c>
      <c r="AI5" s="1" t="str">
        <v/>
      </c>
      <c r="AJ5" s="1" t="str">
        <v/>
      </c>
      <c r="AK5" s="1" t="str">
        <v/>
      </c>
      <c r="AL5" s="1" t="str">
        <v/>
      </c>
    </row>
    <row r="6">
      <c r="A6" s="1" t="str">
        <v>HIST-0005</v>
      </c>
      <c r="B6" s="1" t="str">
        <v>D0005</v>
      </c>
      <c r="C6" s="1" t="str">
        <v>Satélite de Riesgos R1</v>
      </c>
      <c r="D6" s="1" t="str">
        <v/>
      </c>
      <c r="E6" s="1" t="str">
        <v>Creación</v>
      </c>
      <c r="F6" s="1" t="str">
        <v>OP-0010, OP-0011</v>
      </c>
      <c r="G6" s="1" t="str">
        <v>Vanessa Vera / Miguel García</v>
      </c>
      <c r="H6" s="1" t="str">
        <v>Nelson Cuba</v>
      </c>
      <c r="I6" s="1" t="str">
        <v>Paola Casanova</v>
      </c>
      <c r="J6" s="1" t="str">
        <v>Wilfredo Centurion / Carlos Zuñiga</v>
      </c>
      <c r="K6" s="1" t="str">
        <v>Alan Gutierrez</v>
      </c>
      <c r="L6" s="1" t="str">
        <v>nueva APP, CRM, Urpi Pro, Yape</v>
      </c>
      <c r="M6" s="1" t="str">
        <v>2026-07-07</v>
      </c>
      <c r="N6" s="1" t="str">
        <v/>
      </c>
      <c r="O6" s="1" t="str">
        <v/>
      </c>
      <c r="P6" s="1" t="str">
        <v/>
      </c>
      <c r="Q6" s="1" t="str">
        <v>2026-07-13</v>
      </c>
      <c r="R6" s="1" t="str">
        <f>IF(Q6="","","Q"&amp;ROUNDUP(MONTH(Q6)/3,0)&amp;"-"&amp;YEAR(Q6))</f>
        <v>Q3-2026</v>
      </c>
      <c r="S6" s="1" t="str">
        <v>Producción</v>
      </c>
      <c r="T6" s="1" t="str">
        <v/>
      </c>
      <c r="U6" s="1" t="str">
        <v/>
      </c>
      <c r="V6" s="1" t="str">
        <v/>
      </c>
      <c r="W6" s="1" t="str">
        <v>Media</v>
      </c>
      <c r="X6" s="1" t="str">
        <v/>
      </c>
      <c r="Y6" s="1" t="str">
        <v/>
      </c>
      <c r="Z6" s="1" t="str">
        <v>2026-07-07</v>
      </c>
      <c r="AA6" s="1" t="str">
        <v/>
      </c>
      <c r="AB6" s="1" t="str">
        <v/>
      </c>
      <c r="AC6" s="1" t="str">
        <v>Replanificado para pasar en Q3</v>
      </c>
      <c r="AD6" s="1" t="str">
        <v/>
      </c>
      <c r="AE6" s="1" t="str">
        <v/>
      </c>
      <c r="AF6" s="1" t="str">
        <v/>
      </c>
      <c r="AG6" s="1" t="str">
        <v>Finalizado</v>
      </c>
      <c r="AH6" s="1" t="str">
        <v>Finalizado</v>
      </c>
      <c r="AI6" s="1" t="str">
        <v/>
      </c>
      <c r="AJ6" s="1" t="str">
        <v/>
      </c>
      <c r="AK6" s="1" t="str">
        <v/>
      </c>
      <c r="AL6" s="1" t="str">
        <v/>
      </c>
    </row>
    <row r="7">
      <c r="A7" s="1" t="str">
        <v>HIST-0006</v>
      </c>
      <c r="B7" s="1" t="str">
        <v>D0006</v>
      </c>
      <c r="C7" s="1" t="str">
        <v>Satélite de Riesgos R1</v>
      </c>
      <c r="D7" s="1" t="str">
        <v/>
      </c>
      <c r="E7" s="1" t="str">
        <v>Modificación</v>
      </c>
      <c r="F7" s="1" t="str">
        <v>OP-0012</v>
      </c>
      <c r="G7" s="1" t="str">
        <v>Vanessa Vera / Miguel García</v>
      </c>
      <c r="H7" s="1" t="str">
        <v>Nelson Cuba</v>
      </c>
      <c r="I7" s="1" t="str">
        <v>Paola Casanova</v>
      </c>
      <c r="J7" s="1" t="str">
        <v>Wilfredo Centurion / Carlos Zuñiga</v>
      </c>
      <c r="K7" s="1" t="str">
        <v>Alan Gutierrez</v>
      </c>
      <c r="L7" s="1" t="str">
        <v>nueva APP, CRM, Urpi Pro, Yape</v>
      </c>
      <c r="M7" s="1" t="str">
        <v>2026-07-07</v>
      </c>
      <c r="N7" s="1" t="str">
        <v/>
      </c>
      <c r="O7" s="1" t="str">
        <v/>
      </c>
      <c r="P7" s="1" t="str">
        <v/>
      </c>
      <c r="Q7" s="1" t="str">
        <v>2026-06-30</v>
      </c>
      <c r="R7" s="1" t="str">
        <f>IF(Q7="","","Q"&amp;ROUNDUP(MONTH(Q7)/3,0)&amp;"-"&amp;YEAR(Q7))</f>
        <v>Q2-2026</v>
      </c>
      <c r="S7" s="1" t="str">
        <v>Producción</v>
      </c>
      <c r="T7" s="1" t="str">
        <v/>
      </c>
      <c r="U7" s="1" t="str">
        <v/>
      </c>
      <c r="V7" s="1" t="str">
        <v/>
      </c>
      <c r="W7" s="1" t="str">
        <v>Media</v>
      </c>
      <c r="X7" s="1" t="str">
        <v/>
      </c>
      <c r="Y7" s="1" t="str">
        <v/>
      </c>
      <c r="Z7" s="1" t="str">
        <v>2026-07-07</v>
      </c>
      <c r="AA7" s="1" t="str">
        <v/>
      </c>
      <c r="AB7" s="1" t="str">
        <v/>
      </c>
      <c r="AC7" s="1" t="str">
        <v/>
      </c>
      <c r="AD7" s="1" t="str">
        <v/>
      </c>
      <c r="AE7" s="1" t="str">
        <v/>
      </c>
      <c r="AF7" s="1" t="str">
        <v/>
      </c>
      <c r="AG7" s="1" t="str">
        <v>Finalizado</v>
      </c>
      <c r="AH7" s="1" t="str">
        <v>Finalizado</v>
      </c>
      <c r="AI7" s="1" t="str">
        <v/>
      </c>
      <c r="AJ7" s="1" t="str">
        <v/>
      </c>
      <c r="AK7" s="1" t="str">
        <v/>
      </c>
      <c r="AL7" s="1" t="str">
        <v/>
      </c>
    </row>
    <row r="8">
      <c r="A8" s="1" t="str">
        <v>HIST-0007</v>
      </c>
      <c r="B8" s="1" t="str">
        <v>D0007</v>
      </c>
      <c r="C8" s="1" t="str">
        <v>Satélite de Riesgos "Base Negativa"</v>
      </c>
      <c r="D8" s="1" t="str">
        <v/>
      </c>
      <c r="E8" s="1" t="str">
        <v>Reutilización</v>
      </c>
      <c r="F8" s="1" t="str">
        <v/>
      </c>
      <c r="G8" s="1" t="str">
        <v>Vanessa Vera / Miguel García</v>
      </c>
      <c r="H8" s="1" t="str">
        <v>Nelson Cuba</v>
      </c>
      <c r="I8" s="1" t="str">
        <v>Paola Casanova</v>
      </c>
      <c r="J8" s="1" t="str">
        <v>Wilfredo Centurion / Carlos Zuñiga</v>
      </c>
      <c r="K8" s="1" t="str">
        <v>Alan Gutierrez</v>
      </c>
      <c r="L8" s="1" t="str">
        <v>nueva APP, CRM, Urpi Pro, Yape</v>
      </c>
      <c r="M8" s="1" t="str">
        <v>2026-07-07</v>
      </c>
      <c r="N8" s="1" t="str">
        <v/>
      </c>
      <c r="O8" s="1" t="str">
        <v/>
      </c>
      <c r="P8" s="1" t="str">
        <v/>
      </c>
      <c r="Q8" s="1" t="str">
        <v>2026-12-31</v>
      </c>
      <c r="R8" s="1" t="str">
        <f>IF(Q8="","","Q"&amp;ROUNDUP(MONTH(Q8)/3,0)&amp;"-"&amp;YEAR(Q8))</f>
        <v>Q4-2026</v>
      </c>
      <c r="S8" s="1" t="str">
        <v>Producción</v>
      </c>
      <c r="T8" s="1" t="str">
        <v/>
      </c>
      <c r="U8" s="1" t="str">
        <v/>
      </c>
      <c r="V8" s="1" t="str">
        <v/>
      </c>
      <c r="W8" s="1" t="str">
        <v>Media</v>
      </c>
      <c r="X8" s="1" t="str">
        <v/>
      </c>
      <c r="Y8" s="1" t="str">
        <v/>
      </c>
      <c r="Z8" s="1" t="str">
        <v>2026-07-07</v>
      </c>
      <c r="AA8" s="1" t="str">
        <v/>
      </c>
      <c r="AB8" s="1" t="str">
        <v/>
      </c>
      <c r="AC8" s="1" t="str">
        <v>Se reusará en Q4</v>
      </c>
      <c r="AD8" s="1" t="str">
        <v/>
      </c>
      <c r="AE8" s="1" t="str">
        <v/>
      </c>
      <c r="AF8" s="1" t="str">
        <v/>
      </c>
      <c r="AG8" s="1" t="str">
        <v>En proceso</v>
      </c>
      <c r="AH8" s="1" t="str">
        <v/>
      </c>
      <c r="AI8" s="1" t="str">
        <v/>
      </c>
      <c r="AJ8" s="1" t="str">
        <v/>
      </c>
      <c r="AK8" s="1" t="str">
        <v/>
      </c>
      <c r="AL8" s="1" t="str">
        <v/>
      </c>
    </row>
    <row r="9">
      <c r="A9" s="1" t="str">
        <v>HIST-0008</v>
      </c>
      <c r="B9" s="1" t="str">
        <v>D0008</v>
      </c>
      <c r="C9" s="1" t="str">
        <v>Satélite de Riesgos R1</v>
      </c>
      <c r="D9" s="1" t="str">
        <v/>
      </c>
      <c r="E9" s="1" t="str">
        <v>Creación</v>
      </c>
      <c r="F9" s="1" t="str">
        <v/>
      </c>
      <c r="G9" s="1" t="str">
        <v>Vanessa Vera / Miguel García</v>
      </c>
      <c r="H9" s="1" t="str">
        <v>Nelson Cuba</v>
      </c>
      <c r="I9" s="1" t="str">
        <v>Paola Casanova</v>
      </c>
      <c r="J9" s="1" t="str">
        <v>Wilfredo Centurion / Carlos Zuñiga</v>
      </c>
      <c r="K9" s="1" t="str">
        <v>Alan Gutierrez</v>
      </c>
      <c r="L9" s="1" t="str">
        <v>nueva APP, CRM, Urpi Pro, Yape</v>
      </c>
      <c r="M9" s="1" t="str">
        <v>2026-07-07</v>
      </c>
      <c r="N9" s="1" t="str">
        <v/>
      </c>
      <c r="O9" s="1" t="str">
        <v/>
      </c>
      <c r="P9" s="1" t="str">
        <v/>
      </c>
      <c r="Q9" s="1" t="str">
        <v>2026-07-13</v>
      </c>
      <c r="R9" s="1" t="str">
        <f>IF(Q9="","","Q"&amp;ROUNDUP(MONTH(Q9)/3,0)&amp;"-"&amp;YEAR(Q9))</f>
        <v>Q3-2026</v>
      </c>
      <c r="S9" s="1" t="str">
        <v>Producción</v>
      </c>
      <c r="T9" s="1" t="str">
        <v/>
      </c>
      <c r="U9" s="1" t="str">
        <v/>
      </c>
      <c r="V9" s="1" t="str">
        <v/>
      </c>
      <c r="W9" s="1" t="str">
        <v>Media</v>
      </c>
      <c r="X9" s="1" t="str">
        <v/>
      </c>
      <c r="Y9" s="1" t="str">
        <v/>
      </c>
      <c r="Z9" s="1" t="str">
        <v>2026-07-21</v>
      </c>
      <c r="AA9" s="1" t="str">
        <v/>
      </c>
      <c r="AB9" s="1" t="str">
        <v/>
      </c>
      <c r="AC9" s="1" t="str">
        <v>Replanificado para el Q3</v>
      </c>
      <c r="AD9" s="1" t="str">
        <v/>
      </c>
      <c r="AE9" s="1" t="str">
        <v/>
      </c>
      <c r="AF9" s="1" t="str">
        <v/>
      </c>
      <c r="AG9" s="1" t="str">
        <v>Finalizado</v>
      </c>
      <c r="AH9" s="1" t="str">
        <v>Finalizado</v>
      </c>
      <c r="AI9" s="1" t="str">
        <v/>
      </c>
      <c r="AJ9" s="1" t="str">
        <v/>
      </c>
      <c r="AK9" s="1" t="str">
        <v/>
      </c>
      <c r="AL9" s="1" t="str">
        <v/>
      </c>
    </row>
    <row r="10">
      <c r="A10" s="1" t="str">
        <v>HIST-0009</v>
      </c>
      <c r="B10" s="1" t="str">
        <v>D0005</v>
      </c>
      <c r="C10" s="1" t="str">
        <v>Satélite de Riesgos R2</v>
      </c>
      <c r="D10" s="1" t="str">
        <v/>
      </c>
      <c r="E10" s="1" t="str">
        <v>Modificación</v>
      </c>
      <c r="F10" s="1" t="str">
        <v>OP-0010</v>
      </c>
      <c r="G10" s="1" t="str">
        <v>Vanessa Vera / Miguel García</v>
      </c>
      <c r="H10" s="1" t="str">
        <v>Nelson Cuba</v>
      </c>
      <c r="I10" s="1" t="str">
        <v>Paola Casanova</v>
      </c>
      <c r="J10" s="1" t="str">
        <v>Wilfredo Centurion / Carlos Zuñiga</v>
      </c>
      <c r="K10" s="1" t="str">
        <v>Alan Gutierrez</v>
      </c>
      <c r="L10" s="1" t="str">
        <v>nueva APP, CRM, Urpi Pro, Yape</v>
      </c>
      <c r="M10" s="1" t="str">
        <v>2026-07-07</v>
      </c>
      <c r="N10" s="1" t="str">
        <v/>
      </c>
      <c r="O10" s="1" t="str">
        <v/>
      </c>
      <c r="P10" s="1" t="str">
        <v/>
      </c>
      <c r="Q10" s="1" t="str">
        <v>2026-09-30</v>
      </c>
      <c r="R10" s="1" t="str">
        <f>IF(Q10="","","Q"&amp;ROUNDUP(MONTH(Q10)/3,0)&amp;"-"&amp;YEAR(Q10))</f>
        <v>Q3-2026</v>
      </c>
      <c r="S10" s="1" t="str">
        <v>Producción</v>
      </c>
      <c r="T10" s="1" t="str">
        <v/>
      </c>
      <c r="U10" s="1" t="str">
        <v/>
      </c>
      <c r="V10" s="1" t="str">
        <v/>
      </c>
      <c r="W10" s="1" t="str">
        <v>Media</v>
      </c>
      <c r="X10" s="1" t="str">
        <v/>
      </c>
      <c r="Y10" s="1" t="str">
        <v/>
      </c>
      <c r="Z10" s="1" t="str">
        <v>2026-07-07</v>
      </c>
      <c r="AA10" s="1" t="str">
        <v/>
      </c>
      <c r="AB10" s="1" t="str">
        <v/>
      </c>
      <c r="AC10" s="1" t="str">
        <v>Replanificado para pasar en Q3</v>
      </c>
      <c r="AD10" s="1" t="str">
        <v/>
      </c>
      <c r="AE10" s="1" t="str">
        <v/>
      </c>
      <c r="AF10" s="1" t="str">
        <v/>
      </c>
      <c r="AG10" s="1" t="str">
        <v>Finalizado</v>
      </c>
      <c r="AH10" s="1" t="str">
        <v>Finalizado</v>
      </c>
      <c r="AI10" s="1" t="str">
        <v/>
      </c>
      <c r="AJ10" s="1" t="str">
        <v/>
      </c>
      <c r="AK10" s="1" t="str">
        <v/>
      </c>
      <c r="AL10" s="1" t="str">
        <v/>
      </c>
    </row>
    <row r="11" xml:space="preserve">
      <c r="A11" s="1" t="str">
        <v>HIST-0010</v>
      </c>
      <c r="B11" s="1" t="str">
        <v>D0001</v>
      </c>
      <c r="C11" s="1" t="str">
        <v>Satélite de Riesgos R3</v>
      </c>
      <c r="D11" s="1" t="str">
        <v/>
      </c>
      <c r="E11" s="1" t="str">
        <v>Modificación</v>
      </c>
      <c r="F11" s="1" t="str">
        <v/>
      </c>
      <c r="G11" s="1" t="str">
        <v>Vanessa Vera / Miguel García</v>
      </c>
      <c r="H11" s="1" t="str">
        <v>Nelson Cuba</v>
      </c>
      <c r="I11" s="1" t="str">
        <v>Paola Casanova</v>
      </c>
      <c r="J11" s="1" t="str">
        <v>Wilfredo Centurion / Carlos Zuñiga</v>
      </c>
      <c r="K11" s="1" t="str">
        <v>Alan Gutierrez</v>
      </c>
      <c r="L11" s="1" t="str">
        <v>nueva APP, CRM, Urpi Pro, Yape</v>
      </c>
      <c r="M11" s="1" t="str">
        <v>2026-07-07</v>
      </c>
      <c r="N11" s="1" t="str">
        <v/>
      </c>
      <c r="O11" s="1" t="str">
        <v/>
      </c>
      <c r="P11" s="1" t="str">
        <v/>
      </c>
      <c r="Q11" s="1" t="str">
        <v>2026-09-30</v>
      </c>
      <c r="R11" s="1" t="str">
        <f>IF(Q11="","","Q"&amp;ROUNDUP(MONTH(Q11)/3,0)&amp;"-"&amp;YEAR(Q11))</f>
        <v>Q3-2026</v>
      </c>
      <c r="S11" s="1" t="str">
        <v>Calidad</v>
      </c>
      <c r="T11" s="1" t="str">
        <v/>
      </c>
      <c r="U11" s="1" t="str">
        <v/>
      </c>
      <c r="V11" s="1" t="str">
        <v/>
      </c>
      <c r="W11" s="1" t="str">
        <v>Media</v>
      </c>
      <c r="X11" s="1" t="str">
        <v/>
      </c>
      <c r="Y11" s="1" t="str">
        <v/>
      </c>
      <c r="Z11" s="1" t="str">
        <v>2026-07-07</v>
      </c>
      <c r="AA11" s="1" t="str">
        <v/>
      </c>
      <c r="AB11" s="1" t="str">
        <v/>
      </c>
      <c r="AC11" s="1" t="str" xml:space="preserve">
        <v xml:space="preserve">- La primera version de la arquitectura fue entragada el 06/03/2026. 
- Se solicitó un cambio del alcance, la segunda version de la arquitectura se entrego 11/05/2026.
- Salio del Alcance por cambios en la definicion de obtención de variables, paso de ser consumo en API para agregar datos a inputs desde el canal. 
</v>
      </c>
      <c r="AD11" s="1" t="str">
        <v/>
      </c>
      <c r="AE11" s="1" t="str">
        <v/>
      </c>
      <c r="AF11" s="1" t="str">
        <v/>
      </c>
      <c r="AG11" s="1" t="str">
        <v>Finalizado</v>
      </c>
      <c r="AH11" s="1" t="str">
        <v>Finalizado</v>
      </c>
      <c r="AI11" s="1" t="str">
        <v/>
      </c>
      <c r="AJ11" s="1" t="str">
        <v/>
      </c>
      <c r="AK11" s="1" t="str">
        <v/>
      </c>
      <c r="AL11" s="1" t="str">
        <v/>
      </c>
    </row>
    <row r="12" xml:space="preserve">
      <c r="A12" s="1" t="str">
        <v>HIST-0011</v>
      </c>
      <c r="B12" s="1" t="str">
        <v>D0002</v>
      </c>
      <c r="C12" s="1" t="str">
        <v>Satélite de Riesgos R3</v>
      </c>
      <c r="D12" s="1" t="str">
        <v/>
      </c>
      <c r="E12" s="1" t="str">
        <v>Modificación</v>
      </c>
      <c r="F12" s="1" t="str">
        <v/>
      </c>
      <c r="G12" s="1" t="str">
        <v>Vanessa Vera / Miguel García</v>
      </c>
      <c r="H12" s="1" t="str">
        <v>Nelson Cuba</v>
      </c>
      <c r="I12" s="1" t="str">
        <v>Paola Casanova</v>
      </c>
      <c r="J12" s="1" t="str">
        <v>Wilfredo Centurion / Carlos Zuñiga</v>
      </c>
      <c r="K12" s="1" t="str">
        <v>Alan Gutierrez</v>
      </c>
      <c r="L12" s="1" t="str">
        <v>nueva APP, CRM, Urpi Pro, Yape</v>
      </c>
      <c r="M12" s="1" t="str">
        <v>2026-07-07</v>
      </c>
      <c r="N12" s="1" t="str">
        <v/>
      </c>
      <c r="O12" s="1" t="str">
        <v/>
      </c>
      <c r="P12" s="1" t="str">
        <v/>
      </c>
      <c r="Q12" s="1" t="str">
        <v>2026-09-30</v>
      </c>
      <c r="R12" s="1" t="str">
        <f>IF(Q12="","","Q"&amp;ROUNDUP(MONTH(Q12)/3,0)&amp;"-"&amp;YEAR(Q12))</f>
        <v>Q3-2026</v>
      </c>
      <c r="S12" s="1" t="str">
        <v>Calidad</v>
      </c>
      <c r="T12" s="1" t="str">
        <v/>
      </c>
      <c r="U12" s="1" t="str">
        <v/>
      </c>
      <c r="V12" s="1" t="str">
        <v/>
      </c>
      <c r="W12" s="1" t="str">
        <v>Media</v>
      </c>
      <c r="X12" s="1" t="str">
        <v/>
      </c>
      <c r="Y12" s="1" t="str">
        <v/>
      </c>
      <c r="Z12" s="1" t="str">
        <v>2026-07-07</v>
      </c>
      <c r="AA12" s="1" t="str">
        <v/>
      </c>
      <c r="AB12" s="1" t="str">
        <v/>
      </c>
      <c r="AC12" s="1" t="str" xml:space="preserve">
        <v xml:space="preserve">- La primera version de la arquitectura fue entragada el 06/03/2026. 
- Se solicitó un cambio del alcance, la segunda version de la arquitectura se entrego 11/05/2026.
</v>
      </c>
      <c r="AD12" s="1" t="str">
        <v/>
      </c>
      <c r="AE12" s="1" t="str">
        <v/>
      </c>
      <c r="AF12" s="1" t="str">
        <v/>
      </c>
      <c r="AG12" s="1" t="str">
        <v>Finalizado</v>
      </c>
      <c r="AH12" s="1" t="str">
        <v>Finalizado</v>
      </c>
      <c r="AI12" s="1" t="str">
        <v/>
      </c>
      <c r="AJ12" s="1" t="str">
        <v/>
      </c>
      <c r="AK12" s="1" t="str">
        <v/>
      </c>
      <c r="AL12" s="1" t="str">
        <v/>
      </c>
    </row>
    <row r="13" xml:space="preserve">
      <c r="A13" s="1" t="str">
        <v>HIST-0012</v>
      </c>
      <c r="B13" s="1" t="str">
        <v>D0009</v>
      </c>
      <c r="C13" s="1" t="str">
        <v>Satélite de Riesgos R3</v>
      </c>
      <c r="D13" s="1" t="str">
        <v/>
      </c>
      <c r="E13" s="1" t="str">
        <v>Modificación</v>
      </c>
      <c r="F13" s="1" t="str">
        <v>OP-0014</v>
      </c>
      <c r="G13" s="1" t="str">
        <v>Vanessa Vera / Miguel García</v>
      </c>
      <c r="H13" s="1" t="str">
        <v>Nelson Cuba</v>
      </c>
      <c r="I13" s="1" t="str">
        <v>Paola Casanova</v>
      </c>
      <c r="J13" s="1" t="str">
        <v>Wilfredo Centurion / Carlos Zuñiga</v>
      </c>
      <c r="K13" s="1" t="str">
        <v>Alan Gutierrez</v>
      </c>
      <c r="L13" s="1" t="str">
        <v>nueva APP, CRM, Urpi Pro, Yape</v>
      </c>
      <c r="M13" s="1" t="str">
        <v>2026-07-07</v>
      </c>
      <c r="N13" s="1" t="str">
        <v/>
      </c>
      <c r="O13" s="1" t="str">
        <v/>
      </c>
      <c r="P13" s="1" t="str">
        <v/>
      </c>
      <c r="Q13" s="1" t="str">
        <v>2026-09-30</v>
      </c>
      <c r="R13" s="1" t="str">
        <f>IF(Q13="","","Q"&amp;ROUNDUP(MONTH(Q13)/3,0)&amp;"-"&amp;YEAR(Q13))</f>
        <v>Q3-2026</v>
      </c>
      <c r="S13" s="1" t="str">
        <v>Calidad</v>
      </c>
      <c r="T13" s="1" t="str">
        <v/>
      </c>
      <c r="U13" s="1" t="str">
        <v/>
      </c>
      <c r="V13" s="1" t="str">
        <v/>
      </c>
      <c r="W13" s="1" t="str">
        <v>Media</v>
      </c>
      <c r="X13" s="1" t="str">
        <v/>
      </c>
      <c r="Y13" s="1" t="str">
        <v/>
      </c>
      <c r="Z13" s="1" t="str">
        <v>2026-07-07</v>
      </c>
      <c r="AA13" s="1" t="str">
        <v/>
      </c>
      <c r="AB13" s="1" t="str">
        <v/>
      </c>
      <c r="AC13" s="1" t="str" xml:space="preserve">
        <v xml:space="preserve">- La primera version de la arquitectura fue entragada el 06/03/2026. 
- Se solicitó un cambio del alcance, la segunda version de la arquitectura se entrego 11/05/2026.
</v>
      </c>
      <c r="AD13" s="1" t="str">
        <v/>
      </c>
      <c r="AE13" s="1" t="str">
        <v/>
      </c>
      <c r="AF13" s="1" t="str">
        <v/>
      </c>
      <c r="AG13" s="1" t="str">
        <v>Finalizado</v>
      </c>
      <c r="AH13" s="1" t="str">
        <v>En proceso</v>
      </c>
      <c r="AI13" s="1" t="str">
        <v/>
      </c>
      <c r="AJ13" s="1" t="str">
        <v/>
      </c>
      <c r="AK13" s="1" t="str">
        <v/>
      </c>
      <c r="AL13" s="1" t="str">
        <v/>
      </c>
    </row>
    <row r="14" xml:space="preserve">
      <c r="A14" s="1" t="str">
        <v>HIST-0013</v>
      </c>
      <c r="B14" s="1" t="str">
        <v>D0010</v>
      </c>
      <c r="C14" s="1" t="str">
        <v>Satélite de Riesgos R3</v>
      </c>
      <c r="D14" s="1" t="str">
        <v/>
      </c>
      <c r="E14" s="1" t="str">
        <v>Modificación</v>
      </c>
      <c r="F14" s="1" t="str">
        <v/>
      </c>
      <c r="G14" s="1" t="str">
        <v>Vanessa Vera / Miguel García</v>
      </c>
      <c r="H14" s="1" t="str">
        <v>Nelson Cuba</v>
      </c>
      <c r="I14" s="1" t="str">
        <v>Paola Casanova</v>
      </c>
      <c r="J14" s="1" t="str">
        <v>Wilfredo Centurion / Carlos Zuñiga</v>
      </c>
      <c r="K14" s="1" t="str">
        <v>Alan Gutierrez</v>
      </c>
      <c r="L14" s="1" t="str">
        <v>nueva APP, CRM, Urpi Pro, Yape</v>
      </c>
      <c r="M14" s="1" t="str">
        <v>2026-07-07</v>
      </c>
      <c r="N14" s="1" t="str">
        <v/>
      </c>
      <c r="O14" s="1" t="str">
        <v/>
      </c>
      <c r="P14" s="1" t="str">
        <v/>
      </c>
      <c r="Q14" s="1" t="str">
        <v>2026-09-30</v>
      </c>
      <c r="R14" s="1" t="str">
        <f>IF(Q14="","","Q"&amp;ROUNDUP(MONTH(Q14)/3,0)&amp;"-"&amp;YEAR(Q14))</f>
        <v>Q3-2026</v>
      </c>
      <c r="S14" s="1" t="str">
        <v>Calidad</v>
      </c>
      <c r="T14" s="1" t="str">
        <v/>
      </c>
      <c r="U14" s="1" t="str">
        <v/>
      </c>
      <c r="V14" s="1" t="str">
        <v/>
      </c>
      <c r="W14" s="1" t="str">
        <v>Media</v>
      </c>
      <c r="X14" s="1" t="str">
        <v/>
      </c>
      <c r="Y14" s="1" t="str">
        <v/>
      </c>
      <c r="Z14" s="1" t="str">
        <v>2026-07-07</v>
      </c>
      <c r="AA14" s="1" t="str">
        <v/>
      </c>
      <c r="AB14" s="1" t="str">
        <v/>
      </c>
      <c r="AC14" s="1" t="str" xml:space="preserve">
        <v xml:space="preserve">- La primera version de la arquitectura fue entragada el 06/03/2026. 
- Se solicitó un cambio del alcance, la segunda version de la arquitectura se entrego 11/05/2026.
- Salio del Alcance  por la definición de obtención de variables. Luego del analisis hacia sentido que las variables se obtengan del Customer Offer.
</v>
      </c>
      <c r="AD14" s="1" t="str">
        <v/>
      </c>
      <c r="AE14" s="1" t="str">
        <v/>
      </c>
      <c r="AF14" s="1" t="str">
        <v/>
      </c>
      <c r="AG14" s="1" t="str">
        <v>Finalizado</v>
      </c>
      <c r="AH14" s="1" t="str">
        <v>En proceso</v>
      </c>
      <c r="AI14" s="1" t="str">
        <v/>
      </c>
      <c r="AJ14" s="1" t="str">
        <v/>
      </c>
      <c r="AK14" s="1" t="str">
        <v/>
      </c>
      <c r="AL14" s="1" t="str">
        <v/>
      </c>
    </row>
    <row r="15" xml:space="preserve">
      <c r="A15" s="1" t="str">
        <v>HIST-0014</v>
      </c>
      <c r="B15" s="1" t="str">
        <v>D0005</v>
      </c>
      <c r="C15" s="1" t="str">
        <v>Satélite de Riesgos R3</v>
      </c>
      <c r="D15" s="1" t="str">
        <v/>
      </c>
      <c r="E15" s="1" t="str">
        <v>Modificación</v>
      </c>
      <c r="F15" s="1" t="str">
        <v/>
      </c>
      <c r="G15" s="1" t="str">
        <v>Vanessa Vera / Miguel García</v>
      </c>
      <c r="H15" s="1" t="str">
        <v>Nelson Cuba</v>
      </c>
      <c r="I15" s="1" t="str">
        <v>Paola Casanova</v>
      </c>
      <c r="J15" s="1" t="str">
        <v>Wilfredo Centurion / Carlos Zuñiga</v>
      </c>
      <c r="K15" s="1" t="str">
        <v>Alan Gutierrez</v>
      </c>
      <c r="L15" s="1" t="str">
        <v>nueva APP, CRM, Urpi Pro, Yape</v>
      </c>
      <c r="M15" s="1" t="str">
        <v>2026-07-07</v>
      </c>
      <c r="N15" s="1" t="str">
        <v/>
      </c>
      <c r="O15" s="1" t="str">
        <v/>
      </c>
      <c r="P15" s="1" t="str">
        <v/>
      </c>
      <c r="Q15" s="1" t="str">
        <v>2026-09-30</v>
      </c>
      <c r="R15" s="1" t="str">
        <f>IF(Q15="","","Q"&amp;ROUNDUP(MONTH(Q15)/3,0)&amp;"-"&amp;YEAR(Q15))</f>
        <v>Q3-2026</v>
      </c>
      <c r="S15" s="1" t="str">
        <v>Calidad</v>
      </c>
      <c r="T15" s="1" t="str">
        <v/>
      </c>
      <c r="U15" s="1" t="str">
        <v/>
      </c>
      <c r="V15" s="1" t="str">
        <v/>
      </c>
      <c r="W15" s="1" t="str">
        <v>Media</v>
      </c>
      <c r="X15" s="1" t="str">
        <v/>
      </c>
      <c r="Y15" s="1" t="str">
        <v/>
      </c>
      <c r="Z15" s="1" t="str">
        <v>2026-07-07</v>
      </c>
      <c r="AA15" s="1" t="str">
        <v/>
      </c>
      <c r="AB15" s="1" t="str">
        <v/>
      </c>
      <c r="AC15" s="1" t="str" xml:space="preserve">
        <v xml:space="preserve">- La primera version de la arquitectura fue entragada el 06/03/2026. 
- Se solicitó un cambio del alcance, la segunda version de la arquitectura se entrego 11/05/2026.
</v>
      </c>
      <c r="AD15" s="1" t="str">
        <v/>
      </c>
      <c r="AE15" s="1" t="str">
        <v/>
      </c>
      <c r="AF15" s="1" t="str">
        <v/>
      </c>
      <c r="AG15" s="1" t="str">
        <v>Finalizado</v>
      </c>
      <c r="AH15" s="1" t="str">
        <v>Finalizado</v>
      </c>
      <c r="AI15" s="1" t="str">
        <v/>
      </c>
      <c r="AJ15" s="1" t="str">
        <v/>
      </c>
      <c r="AK15" s="1" t="str">
        <v/>
      </c>
      <c r="AL15" s="1" t="str">
        <v/>
      </c>
    </row>
    <row r="16" xml:space="preserve">
      <c r="A16" s="1" t="str">
        <v>HIST-0015</v>
      </c>
      <c r="B16" s="1" t="str">
        <v>D0006</v>
      </c>
      <c r="C16" s="1" t="str">
        <v>Satélite de Riesgos R3</v>
      </c>
      <c r="D16" s="1" t="str">
        <v/>
      </c>
      <c r="E16" s="1" t="str">
        <v>Modificación</v>
      </c>
      <c r="F16" s="1" t="str">
        <v/>
      </c>
      <c r="G16" s="1" t="str">
        <v>Vanessa Vera / Miguel García</v>
      </c>
      <c r="H16" s="1" t="str">
        <v>Nelson Cuba</v>
      </c>
      <c r="I16" s="1" t="str">
        <v>Paola Casanova</v>
      </c>
      <c r="J16" s="1" t="str">
        <v>Wilfredo Centurion / Carlos Zuñiga</v>
      </c>
      <c r="K16" s="1" t="str">
        <v>Alan Gutierrez</v>
      </c>
      <c r="L16" s="1" t="str">
        <v>nueva APP, CRM, Urpi Pro, Yape</v>
      </c>
      <c r="M16" s="1" t="str">
        <v>2026-07-07</v>
      </c>
      <c r="N16" s="1" t="str">
        <v/>
      </c>
      <c r="O16" s="1" t="str">
        <v/>
      </c>
      <c r="P16" s="1" t="str">
        <v/>
      </c>
      <c r="Q16" s="1" t="str">
        <v>2026-09-30</v>
      </c>
      <c r="R16" s="1" t="str">
        <f>IF(Q16="","","Q"&amp;ROUNDUP(MONTH(Q16)/3,0)&amp;"-"&amp;YEAR(Q16))</f>
        <v>Q3-2026</v>
      </c>
      <c r="S16" s="1" t="str">
        <v>Calidad</v>
      </c>
      <c r="T16" s="1" t="str">
        <v/>
      </c>
      <c r="U16" s="1" t="str">
        <v/>
      </c>
      <c r="V16" s="1" t="str">
        <v/>
      </c>
      <c r="W16" s="1" t="str">
        <v>Media</v>
      </c>
      <c r="X16" s="1" t="str">
        <v/>
      </c>
      <c r="Y16" s="1" t="str">
        <v/>
      </c>
      <c r="Z16" s="1" t="str">
        <v>2026-07-07</v>
      </c>
      <c r="AA16" s="1" t="str">
        <v/>
      </c>
      <c r="AB16" s="1" t="str">
        <v/>
      </c>
      <c r="AC16" s="1" t="str" xml:space="preserve">
        <v xml:space="preserve">- La primera version de la arquitectura fue entragada el 06/03/2026. 
- Se solicitó un cambio del alcance, la segunda version de la arquitectura se entrego 11/05/2026.
</v>
      </c>
      <c r="AD16" s="1" t="str">
        <v/>
      </c>
      <c r="AE16" s="1" t="str">
        <v/>
      </c>
      <c r="AF16" s="1" t="str">
        <v/>
      </c>
      <c r="AG16" s="1" t="str">
        <v>Finalizado</v>
      </c>
      <c r="AH16" s="1" t="str">
        <v>Finalizado</v>
      </c>
      <c r="AI16" s="1" t="str">
        <v/>
      </c>
      <c r="AJ16" s="1" t="str">
        <v/>
      </c>
      <c r="AK16" s="1" t="str">
        <v/>
      </c>
      <c r="AL16" s="1" t="str">
        <v/>
      </c>
    </row>
    <row r="17" xml:space="preserve">
      <c r="A17" s="1" t="str">
        <v>HIST-0016</v>
      </c>
      <c r="B17" s="1" t="str">
        <v>D0008</v>
      </c>
      <c r="C17" s="1" t="str">
        <v>Satélite de Riesgos R3</v>
      </c>
      <c r="D17" s="1" t="str">
        <v/>
      </c>
      <c r="E17" s="1" t="str">
        <v>Modificación</v>
      </c>
      <c r="F17" s="1" t="str">
        <v/>
      </c>
      <c r="G17" s="1" t="str">
        <v>Vanessa Vera / Miguel García</v>
      </c>
      <c r="H17" s="1" t="str">
        <v>Nelson Cuba</v>
      </c>
      <c r="I17" s="1" t="str">
        <v>Paola Casanova</v>
      </c>
      <c r="J17" s="1" t="str">
        <v>Wilfredo Centurion / Carlos Zuñiga</v>
      </c>
      <c r="K17" s="1" t="str">
        <v>Alan Gutierrez</v>
      </c>
      <c r="L17" s="1" t="str">
        <v>nueva APP, CRM, Urpi Pro, Yape</v>
      </c>
      <c r="M17" s="1" t="str">
        <v>2026-07-07</v>
      </c>
      <c r="N17" s="1" t="str">
        <v/>
      </c>
      <c r="O17" s="1" t="str">
        <v/>
      </c>
      <c r="P17" s="1" t="str">
        <v/>
      </c>
      <c r="Q17" s="1" t="str">
        <v>2026-09-30</v>
      </c>
      <c r="R17" s="1" t="str">
        <f>IF(Q17="","","Q"&amp;ROUNDUP(MONTH(Q17)/3,0)&amp;"-"&amp;YEAR(Q17))</f>
        <v>Q3-2026</v>
      </c>
      <c r="S17" s="1" t="str">
        <v>Calidad</v>
      </c>
      <c r="T17" s="1" t="str">
        <v/>
      </c>
      <c r="U17" s="1" t="str">
        <v/>
      </c>
      <c r="V17" s="1" t="str">
        <v/>
      </c>
      <c r="W17" s="1" t="str">
        <v>Media</v>
      </c>
      <c r="X17" s="1" t="str">
        <v/>
      </c>
      <c r="Y17" s="1" t="str">
        <v/>
      </c>
      <c r="Z17" s="1" t="str">
        <v>2026-07-07</v>
      </c>
      <c r="AA17" s="1" t="str">
        <v/>
      </c>
      <c r="AB17" s="1" t="str">
        <v/>
      </c>
      <c r="AC17" s="1" t="str" xml:space="preserve">
        <v xml:space="preserve">- La primera version de la arquitectura fue entragada el 06/03/2026. 
- Se solicitó un cambio del alcance, la segunda version de la arquitectura se entrego 11/05/2026.
</v>
      </c>
      <c r="AD17" s="1" t="str">
        <v/>
      </c>
      <c r="AE17" s="1" t="str">
        <v/>
      </c>
      <c r="AF17" s="1" t="str">
        <v/>
      </c>
      <c r="AG17" s="1" t="str">
        <v>Finalizado</v>
      </c>
      <c r="AH17" s="1" t="str">
        <v>Finalizado</v>
      </c>
      <c r="AI17" s="1" t="str">
        <v/>
      </c>
      <c r="AJ17" s="1" t="str">
        <v/>
      </c>
      <c r="AK17" s="1" t="str">
        <v/>
      </c>
      <c r="AL17" s="1" t="str">
        <v/>
      </c>
    </row>
    <row r="18">
      <c r="A18" s="1" t="str">
        <v>HIST-0017</v>
      </c>
      <c r="B18" s="1" t="str">
        <v>D0011</v>
      </c>
      <c r="C18" s="1" t="str">
        <v>Satélite de Riesgos "Base Negativa"</v>
      </c>
      <c r="D18" s="1" t="str">
        <v/>
      </c>
      <c r="E18" s="1" t="str">
        <v>Creación</v>
      </c>
      <c r="F18" s="1" t="str">
        <v/>
      </c>
      <c r="G18" s="1" t="str">
        <v>Vanessa Vera / Miguel García</v>
      </c>
      <c r="H18" s="1" t="str">
        <v>Nelson Cuba</v>
      </c>
      <c r="I18" s="1" t="str">
        <v>Paola Casanova</v>
      </c>
      <c r="J18" s="1" t="str">
        <v>Wilfredo Centurion / Carlos Zuñiga</v>
      </c>
      <c r="K18" s="1" t="str">
        <v>Alan Gutierrez</v>
      </c>
      <c r="L18" s="1" t="str">
        <v>nueva APP, CRM, Urpi Pro, Yape</v>
      </c>
      <c r="M18" s="1" t="str">
        <v>2026-07-07</v>
      </c>
      <c r="N18" s="1" t="str">
        <v/>
      </c>
      <c r="O18" s="1" t="str">
        <v/>
      </c>
      <c r="P18" s="1" t="str">
        <v/>
      </c>
      <c r="Q18" s="1" t="str">
        <v>2026-12-31</v>
      </c>
      <c r="R18" s="1" t="str">
        <f>IF(Q18="","","Q"&amp;ROUNDUP(MONTH(Q18)/3,0)&amp;"-"&amp;YEAR(Q18))</f>
        <v>Q4-2026</v>
      </c>
      <c r="S18" s="1" t="str">
        <v>Desarrollo</v>
      </c>
      <c r="T18" s="1" t="str">
        <v/>
      </c>
      <c r="U18" s="1" t="str">
        <v/>
      </c>
      <c r="V18" s="1" t="str">
        <v/>
      </c>
      <c r="W18" s="1" t="str">
        <v>Media</v>
      </c>
      <c r="X18" s="1" t="str">
        <v/>
      </c>
      <c r="Y18" s="1" t="str">
        <v/>
      </c>
      <c r="Z18" s="1" t="str">
        <v>2026-07-07</v>
      </c>
      <c r="AA18" s="1" t="str">
        <v/>
      </c>
      <c r="AB18" s="1" t="str">
        <v/>
      </c>
      <c r="AC18" s="1" t="str">
        <v>- Satelite de Riesgos R4 según programa del CORE se denomina Base Negativa, API se entrega en Q4</v>
      </c>
      <c r="AD18" s="1" t="str">
        <v/>
      </c>
      <c r="AE18" s="1" t="str">
        <v/>
      </c>
      <c r="AF18" s="1" t="str">
        <v/>
      </c>
      <c r="AG18" s="1" t="str">
        <v>Finalizado</v>
      </c>
      <c r="AH18" s="1" t="str">
        <v>En proceso</v>
      </c>
      <c r="AI18" s="1" t="str">
        <v/>
      </c>
      <c r="AJ18" s="1" t="str">
        <v/>
      </c>
      <c r="AK18" s="1" t="str">
        <v/>
      </c>
      <c r="AL18" s="1" t="str">
        <v/>
      </c>
    </row>
    <row r="19">
      <c r="A19" s="1" t="str">
        <v>HIST-0018</v>
      </c>
      <c r="B19" s="1" t="str">
        <v>D0008</v>
      </c>
      <c r="C19" s="1" t="str">
        <v>Satélite de Riesgos "Base Negativa"</v>
      </c>
      <c r="D19" s="1" t="str">
        <v/>
      </c>
      <c r="E19" s="1" t="str">
        <v>Modificación</v>
      </c>
      <c r="F19" s="1" t="str">
        <v/>
      </c>
      <c r="G19" s="1" t="str">
        <v>Vanessa Vera / Miguel García</v>
      </c>
      <c r="H19" s="1" t="str">
        <v>Nelson Cuba</v>
      </c>
      <c r="I19" s="1" t="str">
        <v>Paola Casanova</v>
      </c>
      <c r="J19" s="1" t="str">
        <v>Wilfredo Centurion / Carlos Zuñiga</v>
      </c>
      <c r="K19" s="1" t="str">
        <v>Alan Gutierrez</v>
      </c>
      <c r="L19" s="1" t="str">
        <v>nueva APP, CRM, Urpi Pro, Yape</v>
      </c>
      <c r="M19" s="1" t="str">
        <v>2026-07-07</v>
      </c>
      <c r="N19" s="1" t="str">
        <v/>
      </c>
      <c r="O19" s="1" t="str">
        <v/>
      </c>
      <c r="P19" s="1" t="str">
        <v/>
      </c>
      <c r="Q19" s="1" t="str">
        <v>2026-12-31</v>
      </c>
      <c r="R19" s="1" t="str">
        <f>IF(Q19="","","Q"&amp;ROUNDUP(MONTH(Q19)/3,0)&amp;"-"&amp;YEAR(Q19))</f>
        <v>Q4-2026</v>
      </c>
      <c r="S19" s="1" t="str">
        <v>Desarrollo</v>
      </c>
      <c r="T19" s="1" t="str">
        <v/>
      </c>
      <c r="U19" s="1" t="str">
        <v/>
      </c>
      <c r="V19" s="1" t="str">
        <v/>
      </c>
      <c r="W19" s="1" t="str">
        <v>Media</v>
      </c>
      <c r="X19" s="1" t="str">
        <v/>
      </c>
      <c r="Y19" s="1" t="str">
        <v/>
      </c>
      <c r="Z19" s="1" t="str">
        <v>2026-07-07</v>
      </c>
      <c r="AA19" s="1" t="str">
        <v/>
      </c>
      <c r="AB19" s="1" t="str">
        <v/>
      </c>
      <c r="AC19" s="1" t="str">
        <v>- Satelite de Riesgos R4 según programa del CORE se denomina Base Negativa. APi se entrega en Q$</v>
      </c>
      <c r="AD19" s="1" t="str">
        <v/>
      </c>
      <c r="AE19" s="1" t="str">
        <v/>
      </c>
      <c r="AF19" s="1" t="str">
        <v/>
      </c>
      <c r="AG19" s="1" t="str">
        <v>Finalizado</v>
      </c>
      <c r="AH19" s="1" t="str">
        <v>Finalizado</v>
      </c>
      <c r="AI19" s="1" t="str">
        <v/>
      </c>
      <c r="AJ19" s="1" t="str">
        <v/>
      </c>
      <c r="AK19" s="1" t="str">
        <v/>
      </c>
      <c r="AL19" s="1" t="str">
        <v/>
      </c>
    </row>
    <row r="20">
      <c r="A20" s="1" t="str">
        <v>HIST-0019</v>
      </c>
      <c r="B20" s="1" t="str">
        <v>D0012</v>
      </c>
      <c r="C20" s="1" t="str">
        <v>Satelite de Seguros</v>
      </c>
      <c r="D20" s="1" t="str">
        <v/>
      </c>
      <c r="E20" s="1" t="str">
        <v>Modificación</v>
      </c>
      <c r="F20" s="1" t="str">
        <v/>
      </c>
      <c r="G20" s="1" t="str">
        <v>Cesar Kroll</v>
      </c>
      <c r="H20" s="1" t="str">
        <v>Sin TTL</v>
      </c>
      <c r="I20" s="1" t="str">
        <v>Estefany Pimentel</v>
      </c>
      <c r="J20" s="1" t="str">
        <v>Walter Rosado</v>
      </c>
      <c r="K20" s="1" t="str">
        <v>Christian Tineo</v>
      </c>
      <c r="L20" s="1" t="str">
        <v>Todos los canales que venden creditos</v>
      </c>
      <c r="M20" s="1" t="str">
        <v>2026-07-08</v>
      </c>
      <c r="N20" s="1" t="str">
        <v/>
      </c>
      <c r="O20" s="1" t="str">
        <v/>
      </c>
      <c r="P20" s="1" t="str">
        <v/>
      </c>
      <c r="Q20" s="1" t="str">
        <v>TBD</v>
      </c>
      <c r="R20" s="1" t="str">
        <f>IF(Q20="","","Q"&amp;ROUNDUP(MONTH(Q20)/3,0)&amp;"-"&amp;YEAR(Q20))</f>
        <v/>
      </c>
      <c r="S20" s="1" t="str">
        <v>Identificado</v>
      </c>
      <c r="T20" s="1" t="str">
        <v/>
      </c>
      <c r="U20" s="1" t="str">
        <v/>
      </c>
      <c r="V20" s="1" t="str">
        <v/>
      </c>
      <c r="W20" s="1" t="str">
        <v>Media</v>
      </c>
      <c r="X20" s="1" t="str">
        <v/>
      </c>
      <c r="Y20" s="1" t="str">
        <v/>
      </c>
      <c r="Z20" s="1" t="str">
        <v>2026-07-07</v>
      </c>
      <c r="AA20" s="1" t="str">
        <v/>
      </c>
      <c r="AB20" s="1" t="str">
        <v/>
      </c>
      <c r="AC20" s="1" t="str">
        <v>Proyecto de Satelite de Seguros en Discovery, se aterrizará el diseño de arquitectura detallada, definiran fechas de implementación. Neobanco lo paso en Q1, el Satelite Seguros lo modificará</v>
      </c>
      <c r="AD20" s="1" t="str">
        <v/>
      </c>
      <c r="AE20" s="1" t="str">
        <v/>
      </c>
      <c r="AF20" s="1" t="str">
        <v/>
      </c>
      <c r="AG20" s="1" t="str">
        <v>Finalizado</v>
      </c>
      <c r="AH20" s="1" t="str">
        <v>En proceso</v>
      </c>
      <c r="AI20" s="1" t="str">
        <v/>
      </c>
      <c r="AJ20" s="1" t="str">
        <v/>
      </c>
      <c r="AK20" s="1" t="str">
        <v/>
      </c>
      <c r="AL20" s="1" t="str">
        <v/>
      </c>
    </row>
    <row r="21">
      <c r="A21" s="1" t="str">
        <v>HIST-0020</v>
      </c>
      <c r="B21" s="1" t="str">
        <v>D0013</v>
      </c>
      <c r="C21" s="1" t="str">
        <v>Satelite de Seguros</v>
      </c>
      <c r="D21" s="1" t="str">
        <v/>
      </c>
      <c r="E21" s="1" t="str">
        <v>Reutilización</v>
      </c>
      <c r="F21" s="1" t="str">
        <v/>
      </c>
      <c r="G21" s="1" t="str">
        <v>Cesar Kroll</v>
      </c>
      <c r="H21" s="1" t="str">
        <v>Sin TTL</v>
      </c>
      <c r="I21" s="1" t="str">
        <v>Estefany Pimentel</v>
      </c>
      <c r="J21" s="1" t="str">
        <v>Walter Rosado</v>
      </c>
      <c r="K21" s="1" t="str">
        <v>Christian Tineo</v>
      </c>
      <c r="L21" s="1" t="str">
        <v>Todos los canales que venden creditos</v>
      </c>
      <c r="M21" s="1" t="str">
        <v>2026-07-08</v>
      </c>
      <c r="N21" s="1" t="str">
        <v/>
      </c>
      <c r="O21" s="1" t="str">
        <v/>
      </c>
      <c r="P21" s="1" t="str">
        <v/>
      </c>
      <c r="Q21" s="1" t="str">
        <v>TBD</v>
      </c>
      <c r="R21" s="1" t="str">
        <f>IF(Q21="","","Q"&amp;ROUNDUP(MONTH(Q21)/3,0)&amp;"-"&amp;YEAR(Q21))</f>
        <v/>
      </c>
      <c r="S21" s="1" t="str">
        <v>Identificado</v>
      </c>
      <c r="T21" s="1" t="str">
        <v/>
      </c>
      <c r="U21" s="1" t="str">
        <v/>
      </c>
      <c r="V21" s="1" t="str">
        <v/>
      </c>
      <c r="W21" s="1" t="str">
        <v>Media</v>
      </c>
      <c r="X21" s="1" t="str">
        <v/>
      </c>
      <c r="Y21" s="1" t="str">
        <v/>
      </c>
      <c r="Z21" s="1" t="str">
        <v>2026-07-07</v>
      </c>
      <c r="AA21" s="1" t="str">
        <v/>
      </c>
      <c r="AB21" s="1" t="str">
        <v/>
      </c>
      <c r="AC21" s="1" t="str">
        <v>Proyecto de Satelite de Seguros en Discovery, se aterrizará el diseño de arquitectura detallada, definiran fechas de implementación. El Proyecto Interconexion lo creará en el Q3, El Satelite de Seguros debe confirmar si es modificacion, re-uso.</v>
      </c>
      <c r="AD21" s="1" t="str">
        <v/>
      </c>
      <c r="AE21" s="1" t="str">
        <v/>
      </c>
      <c r="AF21" s="1" t="str">
        <v/>
      </c>
      <c r="AG21" s="1" t="str">
        <v>Finalizado</v>
      </c>
      <c r="AH21" s="1" t="str">
        <v>En proceso</v>
      </c>
      <c r="AI21" s="1" t="str">
        <v/>
      </c>
      <c r="AJ21" s="1" t="str">
        <v/>
      </c>
      <c r="AK21" s="1" t="str">
        <v/>
      </c>
      <c r="AL21" s="1" t="str">
        <v/>
      </c>
    </row>
    <row r="22">
      <c r="A22" s="1" t="str">
        <v>HIST-0021</v>
      </c>
      <c r="B22" s="1" t="str">
        <v>D0009</v>
      </c>
      <c r="C22" s="1" t="str">
        <v>Satelite de Seguros</v>
      </c>
      <c r="D22" s="1" t="str">
        <v/>
      </c>
      <c r="E22" s="1" t="str">
        <v>Modificación</v>
      </c>
      <c r="F22" s="1" t="str">
        <v/>
      </c>
      <c r="G22" s="1" t="str">
        <v>Cesar Kroll</v>
      </c>
      <c r="H22" s="1" t="str">
        <v>Sin TTL</v>
      </c>
      <c r="I22" s="1" t="str">
        <v>Estefany Pimentel</v>
      </c>
      <c r="J22" s="1" t="str">
        <v>Walter Rosado</v>
      </c>
      <c r="K22" s="1" t="str">
        <v>Christian Tineo</v>
      </c>
      <c r="L22" s="1" t="str">
        <v>Todos los canales que venden creditos</v>
      </c>
      <c r="M22" s="1" t="str">
        <v>2026-07-08</v>
      </c>
      <c r="N22" s="1" t="str">
        <v/>
      </c>
      <c r="O22" s="1" t="str">
        <v/>
      </c>
      <c r="P22" s="1" t="str">
        <v/>
      </c>
      <c r="Q22" s="1" t="str">
        <v>TBD</v>
      </c>
      <c r="R22" s="1" t="str">
        <f>IF(Q22="","","Q"&amp;ROUNDUP(MONTH(Q22)/3,0)&amp;"-"&amp;YEAR(Q22))</f>
        <v/>
      </c>
      <c r="S22" s="1" t="str">
        <v>Identificado</v>
      </c>
      <c r="T22" s="1" t="str">
        <v/>
      </c>
      <c r="U22" s="1" t="str">
        <v/>
      </c>
      <c r="V22" s="1" t="str">
        <v/>
      </c>
      <c r="W22" s="1" t="str">
        <v>Media</v>
      </c>
      <c r="X22" s="1" t="str">
        <v/>
      </c>
      <c r="Y22" s="1" t="str">
        <v/>
      </c>
      <c r="Z22" s="1" t="str">
        <v>2026-07-07</v>
      </c>
      <c r="AA22" s="1" t="str">
        <v/>
      </c>
      <c r="AB22" s="1" t="str">
        <v/>
      </c>
      <c r="AC22" s="1" t="str">
        <v>Proyecto de Satelite de Seguros en Discovery, se aterrizará el diseño de arquitectura detallada, definiran fechas de implementación. Neobanco lo paso en Q1, el Satelite Seguros lo modificará</v>
      </c>
      <c r="AD22" s="1" t="str">
        <v/>
      </c>
      <c r="AE22" s="1" t="str">
        <v/>
      </c>
      <c r="AF22" s="1" t="str">
        <v/>
      </c>
      <c r="AG22" s="1" t="str">
        <v>Finalizado</v>
      </c>
      <c r="AH22" s="1" t="str">
        <v>En proceso</v>
      </c>
      <c r="AI22" s="1" t="str">
        <v/>
      </c>
      <c r="AJ22" s="1" t="str">
        <v/>
      </c>
      <c r="AK22" s="1" t="str">
        <v/>
      </c>
      <c r="AL22" s="1" t="str">
        <v/>
      </c>
    </row>
    <row r="23">
      <c r="A23" s="1" t="str">
        <v>HIST-0022</v>
      </c>
      <c r="B23" s="1" t="str">
        <v>D0014</v>
      </c>
      <c r="C23" s="1" t="str">
        <v>Satelite de Seguros</v>
      </c>
      <c r="D23" s="1" t="str">
        <v/>
      </c>
      <c r="E23" s="1" t="str">
        <v>Modificación</v>
      </c>
      <c r="F23" s="1" t="str">
        <v/>
      </c>
      <c r="G23" s="1" t="str">
        <v>Cesar Kroll</v>
      </c>
      <c r="H23" s="1" t="str">
        <v>Sin TTL</v>
      </c>
      <c r="I23" s="1" t="str">
        <v>Estefany Pimentel</v>
      </c>
      <c r="J23" s="1" t="str">
        <v>Walter Rosado</v>
      </c>
      <c r="K23" s="1" t="str">
        <v>Christian Tineo</v>
      </c>
      <c r="L23" s="1" t="str">
        <v>Todos los canales que venden creditos</v>
      </c>
      <c r="M23" s="1" t="str">
        <v>2026-07-08</v>
      </c>
      <c r="N23" s="1" t="str">
        <v/>
      </c>
      <c r="O23" s="1" t="str">
        <v/>
      </c>
      <c r="P23" s="1" t="str">
        <v/>
      </c>
      <c r="Q23" s="1" t="str">
        <v>TBD</v>
      </c>
      <c r="R23" s="1" t="str">
        <f>IF(Q23="","","Q"&amp;ROUNDUP(MONTH(Q23)/3,0)&amp;"-"&amp;YEAR(Q23))</f>
        <v/>
      </c>
      <c r="S23" s="1" t="str">
        <v>Identificado</v>
      </c>
      <c r="T23" s="1" t="str">
        <v/>
      </c>
      <c r="U23" s="1" t="str">
        <v/>
      </c>
      <c r="V23" s="1" t="str">
        <v/>
      </c>
      <c r="W23" s="1" t="str">
        <v>Media</v>
      </c>
      <c r="X23" s="1" t="str">
        <v/>
      </c>
      <c r="Y23" s="1" t="str">
        <v/>
      </c>
      <c r="Z23" s="1" t="str">
        <v>2026-07-07</v>
      </c>
      <c r="AA23" s="1" t="str">
        <v/>
      </c>
      <c r="AB23" s="1" t="str">
        <v/>
      </c>
      <c r="AC23" s="1" t="str">
        <v>Proyecto de Satelite de Seguros en Discovery, se aterrizará el diseño de arquitectura detallada, definiran fechas de implementación. interconexion lo entrega en el Q4</v>
      </c>
      <c r="AD23" s="1" t="str">
        <v/>
      </c>
      <c r="AE23" s="1" t="str">
        <v/>
      </c>
      <c r="AF23" s="1" t="str">
        <v/>
      </c>
      <c r="AG23" s="1" t="str">
        <v>Finalizado</v>
      </c>
      <c r="AH23" s="1" t="str">
        <v>En proceso</v>
      </c>
      <c r="AI23" s="1" t="str">
        <v/>
      </c>
      <c r="AJ23" s="1" t="str">
        <v/>
      </c>
      <c r="AK23" s="1" t="str">
        <v/>
      </c>
      <c r="AL23" s="1" t="str">
        <v/>
      </c>
    </row>
    <row r="24">
      <c r="A24" s="1" t="str">
        <v>HIST-0023</v>
      </c>
      <c r="B24" s="1" t="str">
        <v>D0015</v>
      </c>
      <c r="C24" s="1" t="str">
        <v>Satelite de Seguros</v>
      </c>
      <c r="D24" s="1" t="str">
        <v/>
      </c>
      <c r="E24" s="1" t="str">
        <v>Modificación</v>
      </c>
      <c r="F24" s="1" t="str">
        <v/>
      </c>
      <c r="G24" s="1" t="str">
        <v>Cesar Kroll</v>
      </c>
      <c r="H24" s="1" t="str">
        <v>Sin TTL</v>
      </c>
      <c r="I24" s="1" t="str">
        <v>Estefany Pimentel</v>
      </c>
      <c r="J24" s="1" t="str">
        <v>Walter Rosado</v>
      </c>
      <c r="K24" s="1" t="str">
        <v>Christian Tineo</v>
      </c>
      <c r="L24" s="1" t="str">
        <v>Todos los canales que venden creditos</v>
      </c>
      <c r="M24" s="1" t="str">
        <v>2026-07-08</v>
      </c>
      <c r="N24" s="1" t="str">
        <v/>
      </c>
      <c r="O24" s="1" t="str">
        <v/>
      </c>
      <c r="P24" s="1" t="str">
        <v/>
      </c>
      <c r="Q24" s="1" t="str">
        <v>TBD</v>
      </c>
      <c r="R24" s="1" t="str">
        <f>IF(Q24="","","Q"&amp;ROUNDUP(MONTH(Q24)/3,0)&amp;"-"&amp;YEAR(Q24))</f>
        <v/>
      </c>
      <c r="S24" s="1" t="str">
        <v>Identificado</v>
      </c>
      <c r="T24" s="1" t="str">
        <v/>
      </c>
      <c r="U24" s="1" t="str">
        <v/>
      </c>
      <c r="V24" s="1" t="str">
        <v/>
      </c>
      <c r="W24" s="1" t="str">
        <v>Media</v>
      </c>
      <c r="X24" s="1" t="str">
        <v/>
      </c>
      <c r="Y24" s="1" t="str">
        <v/>
      </c>
      <c r="Z24" s="1" t="str">
        <v>2026-07-07</v>
      </c>
      <c r="AA24" s="1" t="str">
        <v/>
      </c>
      <c r="AB24" s="1" t="str">
        <v/>
      </c>
      <c r="AC24" s="1" t="str">
        <v>Proyecto de Satelite de Seguros en Discovery, se aterrizará el diseño de arquitectura detallada, definiran fechas de implementación. Neobanco lo paso en Q2, el Satelite Seguros lo modificará</v>
      </c>
      <c r="AD24" s="1" t="str">
        <v/>
      </c>
      <c r="AE24" s="1" t="str">
        <v/>
      </c>
      <c r="AF24" s="1" t="str">
        <v/>
      </c>
      <c r="AG24" s="1" t="str">
        <v>Finalizado</v>
      </c>
      <c r="AH24" s="1" t="str">
        <v>En proceso</v>
      </c>
      <c r="AI24" s="1" t="str">
        <v/>
      </c>
      <c r="AJ24" s="1" t="str">
        <v/>
      </c>
      <c r="AK24" s="1" t="str">
        <v/>
      </c>
      <c r="AL24" s="1" t="str">
        <v/>
      </c>
    </row>
    <row r="25">
      <c r="A25" s="1" t="str">
        <v>HIST-0024</v>
      </c>
      <c r="B25" s="1" t="str">
        <v>D0016</v>
      </c>
      <c r="C25" s="1" t="str">
        <v>Satelite de Seguros</v>
      </c>
      <c r="D25" s="1" t="str">
        <v/>
      </c>
      <c r="E25" s="1" t="str">
        <v>Modificación</v>
      </c>
      <c r="F25" s="1" t="str">
        <v/>
      </c>
      <c r="G25" s="1" t="str">
        <v>Cesar Kroll</v>
      </c>
      <c r="H25" s="1" t="str">
        <v>Sin TTL</v>
      </c>
      <c r="I25" s="1" t="str">
        <v>Estefany Pimentel</v>
      </c>
      <c r="J25" s="1" t="str">
        <v>Walter Rosado</v>
      </c>
      <c r="K25" s="1" t="str">
        <v>Christian Tineo</v>
      </c>
      <c r="L25" s="1" t="str">
        <v>Todos los canales que venden creditos</v>
      </c>
      <c r="M25" s="1" t="str">
        <v>2026-07-08</v>
      </c>
      <c r="N25" s="1" t="str">
        <v/>
      </c>
      <c r="O25" s="1" t="str">
        <v/>
      </c>
      <c r="P25" s="1" t="str">
        <v/>
      </c>
      <c r="Q25" s="1" t="str">
        <v>TBD</v>
      </c>
      <c r="R25" s="1" t="str">
        <f>IF(Q25="","","Q"&amp;ROUNDUP(MONTH(Q25)/3,0)&amp;"-"&amp;YEAR(Q25))</f>
        <v/>
      </c>
      <c r="S25" s="1" t="str">
        <v>Identificado</v>
      </c>
      <c r="T25" s="1" t="str">
        <v/>
      </c>
      <c r="U25" s="1" t="str">
        <v/>
      </c>
      <c r="V25" s="1" t="str">
        <v/>
      </c>
      <c r="W25" s="1" t="str">
        <v>Media</v>
      </c>
      <c r="X25" s="1" t="str">
        <v/>
      </c>
      <c r="Y25" s="1" t="str">
        <v/>
      </c>
      <c r="Z25" s="1" t="str">
        <v>2026-07-07</v>
      </c>
      <c r="AA25" s="1" t="str">
        <v/>
      </c>
      <c r="AB25" s="1" t="str">
        <v/>
      </c>
      <c r="AC25" s="1" t="str">
        <v>Proyecto de Satelite de Seguros en Discovery, se aterrizará el diseño de arquitectura detallada, definiran fechas de implementación. interconexion lo entrega en el Q4</v>
      </c>
      <c r="AD25" s="1" t="str">
        <v/>
      </c>
      <c r="AE25" s="1" t="str">
        <v/>
      </c>
      <c r="AF25" s="1" t="str">
        <v/>
      </c>
      <c r="AG25" s="1" t="str">
        <v>Finalizado</v>
      </c>
      <c r="AH25" s="1" t="str">
        <v>En proceso</v>
      </c>
      <c r="AI25" s="1" t="str">
        <v/>
      </c>
      <c r="AJ25" s="1" t="str">
        <v/>
      </c>
      <c r="AK25" s="1" t="str">
        <v/>
      </c>
      <c r="AL25" s="1" t="str">
        <v/>
      </c>
    </row>
    <row r="26">
      <c r="A26" s="1" t="str">
        <v>HIST-0025</v>
      </c>
      <c r="B26" s="1" t="str">
        <v>D0017</v>
      </c>
      <c r="C26" s="1" t="str">
        <v>Satelite de Seguros</v>
      </c>
      <c r="D26" s="1" t="str">
        <v/>
      </c>
      <c r="E26" s="1" t="str">
        <v>Modificación</v>
      </c>
      <c r="F26" s="1" t="str">
        <v/>
      </c>
      <c r="G26" s="1" t="str">
        <v>Cesar Kroll</v>
      </c>
      <c r="H26" s="1" t="str">
        <v>Sin TTL</v>
      </c>
      <c r="I26" s="1" t="str">
        <v>Estefany Pimentel</v>
      </c>
      <c r="J26" s="1" t="str">
        <v>Walter Rosado</v>
      </c>
      <c r="K26" s="1" t="str">
        <v>Christian Tineo</v>
      </c>
      <c r="L26" s="1" t="str">
        <v>Todos los canales que venden creditos</v>
      </c>
      <c r="M26" s="1" t="str">
        <v>2026-07-08</v>
      </c>
      <c r="N26" s="1" t="str">
        <v/>
      </c>
      <c r="O26" s="1" t="str">
        <v/>
      </c>
      <c r="P26" s="1" t="str">
        <v/>
      </c>
      <c r="Q26" s="1" t="str">
        <v>TBD</v>
      </c>
      <c r="R26" s="1" t="str">
        <f>IF(Q26="","","Q"&amp;ROUNDUP(MONTH(Q26)/3,0)&amp;"-"&amp;YEAR(Q26))</f>
        <v/>
      </c>
      <c r="S26" s="1" t="str">
        <v>Identificado</v>
      </c>
      <c r="T26" s="1" t="str">
        <v/>
      </c>
      <c r="U26" s="1" t="str">
        <v/>
      </c>
      <c r="V26" s="1" t="str">
        <v/>
      </c>
      <c r="W26" s="1" t="str">
        <v>Media</v>
      </c>
      <c r="X26" s="1" t="str">
        <v/>
      </c>
      <c r="Y26" s="1" t="str">
        <v/>
      </c>
      <c r="Z26" s="1" t="str">
        <v>2026-07-07</v>
      </c>
      <c r="AA26" s="1" t="str">
        <v/>
      </c>
      <c r="AB26" s="1" t="str">
        <v/>
      </c>
      <c r="AC26" s="1" t="str">
        <v>Proyecto de Satelite de Seguros en Discovery, se aterrizará el diseño de arquitectura detallada, definiran fechas de implementación. Neobanco lo paso en Q1, BCRP lo tiene para el Q4, Interconexion lo tiene para el Q4</v>
      </c>
      <c r="AD26" s="1" t="str">
        <v/>
      </c>
      <c r="AE26" s="1" t="str">
        <v/>
      </c>
      <c r="AF26" s="1" t="str">
        <v/>
      </c>
      <c r="AG26" s="1" t="str">
        <v>En proceso</v>
      </c>
      <c r="AH26" s="1" t="str">
        <v/>
      </c>
      <c r="AI26" s="1" t="str">
        <v/>
      </c>
      <c r="AJ26" s="1" t="str">
        <v/>
      </c>
      <c r="AK26" s="1" t="str">
        <v/>
      </c>
      <c r="AL26" s="1" t="str">
        <v/>
      </c>
    </row>
    <row r="27">
      <c r="A27" s="1" t="str">
        <v>HIST-0026</v>
      </c>
      <c r="B27" s="1" t="str">
        <v>D0018</v>
      </c>
      <c r="C27" s="1" t="str">
        <v>Satelite de Seguros</v>
      </c>
      <c r="D27" s="1" t="str">
        <v/>
      </c>
      <c r="E27" s="1" t="str">
        <v>Creación</v>
      </c>
      <c r="F27" s="1" t="str">
        <v/>
      </c>
      <c r="G27" s="1" t="str">
        <v>Cesar Kroll</v>
      </c>
      <c r="H27" s="1" t="str">
        <v>Sin TTL</v>
      </c>
      <c r="I27" s="1" t="str">
        <v>Estefany Pimentel</v>
      </c>
      <c r="J27" s="1" t="str">
        <v>Walter Rosado</v>
      </c>
      <c r="K27" s="1" t="str">
        <v>Christian Tineo</v>
      </c>
      <c r="L27" s="1" t="str">
        <v>Todos los canales que venden creditos</v>
      </c>
      <c r="M27" s="1" t="str">
        <v>2026-07-08</v>
      </c>
      <c r="N27" s="1" t="str">
        <v/>
      </c>
      <c r="O27" s="1" t="str">
        <v/>
      </c>
      <c r="P27" s="1" t="str">
        <v/>
      </c>
      <c r="Q27" s="1" t="str">
        <v>TBD</v>
      </c>
      <c r="R27" s="1" t="str">
        <f>IF(Q27="","","Q"&amp;ROUNDUP(MONTH(Q27)/3,0)&amp;"-"&amp;YEAR(Q27))</f>
        <v/>
      </c>
      <c r="S27" s="1" t="str">
        <v>Identificado</v>
      </c>
      <c r="T27" s="1" t="str">
        <v/>
      </c>
      <c r="U27" s="1" t="str">
        <v/>
      </c>
      <c r="V27" s="1" t="str">
        <v/>
      </c>
      <c r="W27" s="1" t="str">
        <v>Media</v>
      </c>
      <c r="X27" s="1" t="str">
        <v/>
      </c>
      <c r="Y27" s="1" t="str">
        <v/>
      </c>
      <c r="Z27" s="1" t="str">
        <v>2026-07-07</v>
      </c>
      <c r="AA27" s="1" t="str">
        <v/>
      </c>
      <c r="AB27" s="1" t="str">
        <v/>
      </c>
      <c r="AC27" s="1" t="str">
        <v>Proyecto de Satelite de Seguros en Discovery, se aterrizará el diseño de arquitectura detallada, definiran fechas de implementación. Creación</v>
      </c>
      <c r="AD27" s="1" t="str">
        <v/>
      </c>
      <c r="AE27" s="1" t="str">
        <v/>
      </c>
      <c r="AF27" s="1" t="str">
        <v/>
      </c>
      <c r="AG27" s="1" t="str">
        <v>En proceso</v>
      </c>
      <c r="AH27" s="1" t="str">
        <v/>
      </c>
      <c r="AI27" s="1" t="str">
        <v/>
      </c>
      <c r="AJ27" s="1" t="str">
        <v/>
      </c>
      <c r="AK27" s="1" t="str">
        <v/>
      </c>
      <c r="AL27" s="1" t="str">
        <v/>
      </c>
    </row>
    <row r="28">
      <c r="A28" s="1" t="str">
        <v>HIST-0027</v>
      </c>
      <c r="B28" s="1" t="str">
        <v>D0009</v>
      </c>
      <c r="C28" s="1" t="str">
        <v>Neobanco</v>
      </c>
      <c r="D28" s="1" t="str">
        <v/>
      </c>
      <c r="E28" s="1" t="str">
        <v>Modificación</v>
      </c>
      <c r="F28" s="1" t="str">
        <v/>
      </c>
      <c r="G28" s="1" t="str">
        <v>Ricardo Garmendia</v>
      </c>
      <c r="H28" s="1" t="str">
        <v>Jose Seminario</v>
      </c>
      <c r="I28" s="1" t="str">
        <v>Alex Guerrero</v>
      </c>
      <c r="J28" s="1" t="str">
        <v>Cesar Lama</v>
      </c>
      <c r="K28" s="1" t="str">
        <v>Jaime Henriquez</v>
      </c>
      <c r="L28" s="1" t="str">
        <v>Neobanco</v>
      </c>
      <c r="M28" s="1" t="str">
        <v>2026-06-05</v>
      </c>
      <c r="N28" s="1" t="str">
        <v/>
      </c>
      <c r="O28" s="1" t="str">
        <v/>
      </c>
      <c r="P28" s="1" t="str">
        <v/>
      </c>
      <c r="Q28" s="1" t="str">
        <v>2026-03-31</v>
      </c>
      <c r="R28" s="1" t="str">
        <f>IF(Q28="","","Q"&amp;ROUNDUP(MONTH(Q28)/3,0)&amp;"-"&amp;YEAR(Q28))</f>
        <v>Q1-2026</v>
      </c>
      <c r="S28" s="1" t="str">
        <v>Producción</v>
      </c>
      <c r="T28" s="1" t="str">
        <v/>
      </c>
      <c r="U28" s="1" t="str">
        <v/>
      </c>
      <c r="V28" s="1" t="str">
        <v/>
      </c>
      <c r="W28" s="1" t="str">
        <v>Media</v>
      </c>
      <c r="X28" s="1" t="str">
        <v/>
      </c>
      <c r="Y28" s="1" t="str">
        <v/>
      </c>
      <c r="Z28" s="1" t="str">
        <v>2026-07-21</v>
      </c>
      <c r="AA28" s="1" t="str">
        <v/>
      </c>
      <c r="AB28" s="1" t="str">
        <v/>
      </c>
      <c r="AC28" s="1" t="str">
        <v>Pasó a produccion en Q1</v>
      </c>
      <c r="AD28" s="1" t="str">
        <v/>
      </c>
      <c r="AE28" s="1" t="str">
        <v/>
      </c>
      <c r="AF28" s="1" t="str">
        <v/>
      </c>
      <c r="AG28" s="1" t="str">
        <v>Finalizado</v>
      </c>
      <c r="AH28" s="1" t="str">
        <v>En proceso</v>
      </c>
      <c r="AI28" s="1" t="str">
        <v/>
      </c>
      <c r="AJ28" s="1" t="str">
        <v/>
      </c>
      <c r="AK28" s="1" t="str">
        <v/>
      </c>
      <c r="AL28" s="1" t="str">
        <v/>
      </c>
    </row>
    <row r="29">
      <c r="A29" s="1" t="str">
        <v>HIST-0028</v>
      </c>
      <c r="B29" s="1" t="str">
        <v>D0019</v>
      </c>
      <c r="C29" s="1" t="str">
        <v>Neobanco</v>
      </c>
      <c r="D29" s="1" t="str">
        <v/>
      </c>
      <c r="E29" s="1" t="str">
        <v>Modificación</v>
      </c>
      <c r="F29" s="1" t="str">
        <v/>
      </c>
      <c r="G29" s="1" t="str">
        <v>Ricardo Garmendia</v>
      </c>
      <c r="H29" s="1" t="str">
        <v>Jose Seminario</v>
      </c>
      <c r="I29" s="1" t="str">
        <v>Alex Guerrero</v>
      </c>
      <c r="J29" s="1" t="str">
        <v>Cesar Lama</v>
      </c>
      <c r="K29" s="1" t="str">
        <v>Jaime Henriquez</v>
      </c>
      <c r="L29" s="1" t="str">
        <v>Neobanco</v>
      </c>
      <c r="M29" s="1" t="str">
        <v>2026-06-05</v>
      </c>
      <c r="N29" s="1" t="str">
        <v/>
      </c>
      <c r="O29" s="1" t="str">
        <v/>
      </c>
      <c r="P29" s="1" t="str">
        <v/>
      </c>
      <c r="Q29" s="1" t="str">
        <v>2026-03-31</v>
      </c>
      <c r="R29" s="1" t="str">
        <f>IF(Q29="","","Q"&amp;ROUNDUP(MONTH(Q29)/3,0)&amp;"-"&amp;YEAR(Q29))</f>
        <v>Q1-2026</v>
      </c>
      <c r="S29" s="1" t="str">
        <v>Producción</v>
      </c>
      <c r="T29" s="1" t="str">
        <v/>
      </c>
      <c r="U29" s="1" t="str">
        <v/>
      </c>
      <c r="V29" s="1" t="str">
        <v/>
      </c>
      <c r="W29" s="1" t="str">
        <v>Media</v>
      </c>
      <c r="X29" s="1" t="str">
        <v/>
      </c>
      <c r="Y29" s="1" t="str">
        <v/>
      </c>
      <c r="Z29" s="1" t="str">
        <v/>
      </c>
      <c r="AA29" s="1" t="str">
        <v/>
      </c>
      <c r="AB29" s="1" t="str">
        <v/>
      </c>
      <c r="AC29" s="1" t="str">
        <v>Pasó a produccion en Q1</v>
      </c>
      <c r="AD29" s="1" t="str">
        <v/>
      </c>
      <c r="AE29" s="1" t="str">
        <v/>
      </c>
      <c r="AF29" s="1" t="str">
        <v/>
      </c>
      <c r="AG29" s="1" t="str">
        <v/>
      </c>
      <c r="AH29" s="1" t="str">
        <v/>
      </c>
      <c r="AI29" s="1" t="str">
        <v/>
      </c>
      <c r="AJ29" s="1" t="str">
        <v/>
      </c>
      <c r="AK29" s="1" t="str">
        <v/>
      </c>
      <c r="AL29" s="1" t="str">
        <v/>
      </c>
    </row>
    <row r="30">
      <c r="A30" s="1" t="str">
        <v>HIST-0029</v>
      </c>
      <c r="B30" s="1" t="str">
        <v>D0006</v>
      </c>
      <c r="C30" s="1" t="str">
        <v>Neobanco</v>
      </c>
      <c r="D30" s="1" t="str">
        <v/>
      </c>
      <c r="E30" s="1" t="str">
        <v>Modificación</v>
      </c>
      <c r="F30" s="1" t="str">
        <v/>
      </c>
      <c r="G30" s="1" t="str">
        <v>Ricardo Garmendia</v>
      </c>
      <c r="H30" s="1" t="str">
        <v>Jose Seminario</v>
      </c>
      <c r="I30" s="1" t="str">
        <v>Alex Guerrero</v>
      </c>
      <c r="J30" s="1" t="str">
        <v>Cesar Lama</v>
      </c>
      <c r="K30" s="1" t="str">
        <v>Jaime Henriquez</v>
      </c>
      <c r="L30" s="1" t="str">
        <v>Neobanco</v>
      </c>
      <c r="M30" s="1" t="str">
        <v>2026-06-05</v>
      </c>
      <c r="N30" s="1" t="str">
        <v/>
      </c>
      <c r="O30" s="1" t="str">
        <v/>
      </c>
      <c r="P30" s="1" t="str">
        <v/>
      </c>
      <c r="Q30" s="1" t="str">
        <v>2026-03-31</v>
      </c>
      <c r="R30" s="1" t="str">
        <f>IF(Q30="","","Q"&amp;ROUNDUP(MONTH(Q30)/3,0)&amp;"-"&amp;YEAR(Q30))</f>
        <v>Q1-2026</v>
      </c>
      <c r="S30" s="1" t="str">
        <v>Producción</v>
      </c>
      <c r="T30" s="1" t="str">
        <v/>
      </c>
      <c r="U30" s="1" t="str">
        <v/>
      </c>
      <c r="V30" s="1" t="str">
        <v/>
      </c>
      <c r="W30" s="1" t="str">
        <v>Media</v>
      </c>
      <c r="X30" s="1" t="str">
        <v/>
      </c>
      <c r="Y30" s="1" t="str">
        <v/>
      </c>
      <c r="Z30" s="1" t="str">
        <v>2026-07-07</v>
      </c>
      <c r="AA30" s="1" t="str">
        <v/>
      </c>
      <c r="AB30" s="1" t="str">
        <v/>
      </c>
      <c r="AC30" s="1" t="str">
        <v>Pasó a produccion en Q1</v>
      </c>
      <c r="AD30" s="1" t="str">
        <v/>
      </c>
      <c r="AE30" s="1" t="str">
        <v/>
      </c>
      <c r="AF30" s="1" t="str">
        <v/>
      </c>
      <c r="AG30" s="1" t="str">
        <v>Finalizado</v>
      </c>
      <c r="AH30" s="1" t="str">
        <v>Finalizado</v>
      </c>
      <c r="AI30" s="1" t="str">
        <v/>
      </c>
      <c r="AJ30" s="1" t="str">
        <v/>
      </c>
      <c r="AK30" s="1" t="str">
        <v/>
      </c>
      <c r="AL30" s="1" t="str">
        <v/>
      </c>
    </row>
    <row r="31">
      <c r="A31" s="1" t="str">
        <v>HIST-0030</v>
      </c>
      <c r="B31" s="1" t="str">
        <v>D0020</v>
      </c>
      <c r="C31" s="1" t="str">
        <v>Neobanco</v>
      </c>
      <c r="D31" s="1" t="str">
        <v/>
      </c>
      <c r="E31" s="1" t="str">
        <v>Creación</v>
      </c>
      <c r="F31" s="1" t="str">
        <v>OP-0015</v>
      </c>
      <c r="G31" s="1" t="str">
        <v>Ricardo Garmendia</v>
      </c>
      <c r="H31" s="1" t="str">
        <v>Jose Seminario</v>
      </c>
      <c r="I31" s="1" t="str">
        <v>Diana Martinez</v>
      </c>
      <c r="J31" s="1" t="str">
        <v>Diana Martinez</v>
      </c>
      <c r="K31" s="1" t="str">
        <v>Jaime Henriquez</v>
      </c>
      <c r="L31" s="1" t="str">
        <v>Neobanco</v>
      </c>
      <c r="M31" s="1" t="str">
        <v>2026-06-05</v>
      </c>
      <c r="N31" s="1" t="str">
        <v/>
      </c>
      <c r="O31" s="1" t="str">
        <v/>
      </c>
      <c r="P31" s="1" t="str">
        <v/>
      </c>
      <c r="Q31" s="1" t="str">
        <v>2026-04-30</v>
      </c>
      <c r="R31" s="1" t="str">
        <f>IF(Q31="","","Q"&amp;ROUNDUP(MONTH(Q31)/3,0)&amp;"-"&amp;YEAR(Q31))</f>
        <v>Q2-2026</v>
      </c>
      <c r="S31" s="1" t="str">
        <v>Producción</v>
      </c>
      <c r="T31" s="1" t="str">
        <v/>
      </c>
      <c r="U31" s="1" t="str">
        <v/>
      </c>
      <c r="V31" s="1" t="str">
        <v/>
      </c>
      <c r="W31" s="1" t="str">
        <v>Media</v>
      </c>
      <c r="X31" s="1" t="str">
        <v/>
      </c>
      <c r="Y31" s="1" t="str">
        <v/>
      </c>
      <c r="Z31" s="1" t="str">
        <v/>
      </c>
      <c r="AA31" s="1" t="str">
        <v/>
      </c>
      <c r="AB31" s="1" t="str">
        <v/>
      </c>
      <c r="AC31" s="1" t="str">
        <v>Pasó a produccion en Q2</v>
      </c>
      <c r="AD31" s="1" t="str">
        <v/>
      </c>
      <c r="AE31" s="1" t="str">
        <v/>
      </c>
      <c r="AF31" s="1" t="str">
        <v/>
      </c>
      <c r="AG31" s="1" t="str">
        <v/>
      </c>
      <c r="AH31" s="1" t="str">
        <v/>
      </c>
      <c r="AI31" s="1" t="str">
        <v/>
      </c>
      <c r="AJ31" s="1" t="str">
        <v/>
      </c>
      <c r="AK31" s="1" t="str">
        <v/>
      </c>
      <c r="AL31" s="1" t="str">
        <v/>
      </c>
    </row>
    <row r="32">
      <c r="A32" s="1" t="str">
        <v>HIST-0031</v>
      </c>
      <c r="B32" s="1" t="str">
        <v>D0021</v>
      </c>
      <c r="C32" s="1" t="str">
        <v>Neobanco</v>
      </c>
      <c r="D32" s="1" t="str">
        <v/>
      </c>
      <c r="E32" s="1" t="str">
        <v>Modificación</v>
      </c>
      <c r="F32" s="1" t="str">
        <v/>
      </c>
      <c r="G32" s="1" t="str">
        <v>Ricardo Garmendia</v>
      </c>
      <c r="H32" s="1" t="str">
        <v>Jose Seminario</v>
      </c>
      <c r="I32" s="1" t="str">
        <v>Diana Martinez</v>
      </c>
      <c r="J32" s="1" t="str">
        <v>Diana Martinez</v>
      </c>
      <c r="K32" s="1" t="str">
        <v>Jaime Henriquez</v>
      </c>
      <c r="L32" s="1" t="str">
        <v>Neobanco</v>
      </c>
      <c r="M32" s="1" t="str">
        <v>2026-06-05</v>
      </c>
      <c r="N32" s="1" t="str">
        <v/>
      </c>
      <c r="O32" s="1" t="str">
        <v/>
      </c>
      <c r="P32" s="1" t="str">
        <v/>
      </c>
      <c r="Q32" s="1" t="str">
        <v>2026-03-31</v>
      </c>
      <c r="R32" s="1" t="str">
        <f>IF(Q32="","","Q"&amp;ROUNDUP(MONTH(Q32)/3,0)&amp;"-"&amp;YEAR(Q32))</f>
        <v>Q1-2026</v>
      </c>
      <c r="S32" s="1" t="str">
        <v>Producción</v>
      </c>
      <c r="T32" s="1" t="str">
        <v/>
      </c>
      <c r="U32" s="1" t="str">
        <v/>
      </c>
      <c r="V32" s="1" t="str">
        <v/>
      </c>
      <c r="W32" s="1" t="str">
        <v>Media</v>
      </c>
      <c r="X32" s="1" t="str">
        <v/>
      </c>
      <c r="Y32" s="1" t="str">
        <v/>
      </c>
      <c r="Z32" s="1" t="str">
        <v/>
      </c>
      <c r="AA32" s="1" t="str">
        <v/>
      </c>
      <c r="AB32" s="1" t="str">
        <v/>
      </c>
      <c r="AC32" s="1" t="str">
        <v>Pasó a produccion en Q1</v>
      </c>
      <c r="AD32" s="1" t="str">
        <v/>
      </c>
      <c r="AE32" s="1" t="str">
        <v/>
      </c>
      <c r="AF32" s="1" t="str">
        <v/>
      </c>
      <c r="AG32" s="1" t="str">
        <v/>
      </c>
      <c r="AH32" s="1" t="str">
        <v/>
      </c>
      <c r="AI32" s="1" t="str">
        <v/>
      </c>
      <c r="AJ32" s="1" t="str">
        <v/>
      </c>
      <c r="AK32" s="1" t="str">
        <v/>
      </c>
      <c r="AL32" s="1" t="str">
        <v/>
      </c>
    </row>
    <row r="33">
      <c r="A33" s="1" t="str">
        <v>HIST-0032</v>
      </c>
      <c r="B33" s="1" t="str">
        <v>D0022</v>
      </c>
      <c r="C33" s="1" t="str">
        <v>PPM - BCRP</v>
      </c>
      <c r="D33" s="1" t="str">
        <v/>
      </c>
      <c r="E33" s="1" t="str">
        <v>Creación</v>
      </c>
      <c r="F33" s="1" t="str">
        <v>OP-0016</v>
      </c>
      <c r="G33" s="1" t="str">
        <v>Vanessa Carranza</v>
      </c>
      <c r="H33" s="1" t="str">
        <v>Gianny Alfaro</v>
      </c>
      <c r="I33" s="1" t="str">
        <v>Sonia Montero</v>
      </c>
      <c r="J33" s="1" t="str">
        <v>Sandro Espinoza, Patrick Rodriguez</v>
      </c>
      <c r="K33" s="1" t="str">
        <v>Jaime Henriquez</v>
      </c>
      <c r="L33" s="1" t="str">
        <v>TAPP-BCRP</v>
      </c>
      <c r="M33" s="1" t="str">
        <v>2026-07-08</v>
      </c>
      <c r="N33" s="1" t="str">
        <v/>
      </c>
      <c r="O33" s="1" t="str">
        <v/>
      </c>
      <c r="P33" s="1" t="str">
        <v/>
      </c>
      <c r="Q33" s="1" t="str">
        <v>2026-09-30</v>
      </c>
      <c r="R33" s="1" t="str">
        <f>IF(Q33="","","Q"&amp;ROUNDUP(MONTH(Q33)/3,0)&amp;"-"&amp;YEAR(Q33))</f>
        <v>Q3-2026</v>
      </c>
      <c r="S33" s="1" t="str">
        <v>Desarrollo</v>
      </c>
      <c r="T33" s="1" t="str">
        <v/>
      </c>
      <c r="U33" s="1" t="str">
        <v/>
      </c>
      <c r="V33" s="1" t="str">
        <v/>
      </c>
      <c r="W33" s="1" t="str">
        <v>Baja</v>
      </c>
      <c r="X33" s="1" t="str">
        <v/>
      </c>
      <c r="Y33" s="1" t="str">
        <v/>
      </c>
      <c r="Z33" s="1" t="str">
        <v/>
      </c>
      <c r="AA33" s="1" t="str">
        <v/>
      </c>
      <c r="AB33" s="1" t="str">
        <v/>
      </c>
      <c r="AC33" s="1" t="str">
        <v>Se compromete para el Q3</v>
      </c>
      <c r="AD33" s="1" t="str">
        <v/>
      </c>
      <c r="AE33" s="1" t="str">
        <v/>
      </c>
      <c r="AF33" s="1" t="str">
        <v/>
      </c>
      <c r="AG33" s="1" t="str">
        <v/>
      </c>
      <c r="AH33" s="1" t="str">
        <v/>
      </c>
      <c r="AI33" s="1" t="str">
        <v/>
      </c>
      <c r="AJ33" s="1" t="str">
        <v/>
      </c>
      <c r="AK33" s="1" t="str">
        <v/>
      </c>
      <c r="AL33" s="1" t="str">
        <v/>
      </c>
    </row>
    <row r="34">
      <c r="A34" s="1" t="str">
        <v>HIST-0033</v>
      </c>
      <c r="B34" s="1" t="str">
        <v>D0007</v>
      </c>
      <c r="C34" s="1" t="str">
        <v>PPM - BCRP</v>
      </c>
      <c r="D34" s="1" t="str">
        <v/>
      </c>
      <c r="E34" s="1" t="str">
        <v>Modificación</v>
      </c>
      <c r="F34" s="1" t="str">
        <v>OP-0017, OP-0018</v>
      </c>
      <c r="G34" s="1" t="str">
        <v>Vanessa Carranza</v>
      </c>
      <c r="H34" s="1" t="str">
        <v>Gianny Alfaro</v>
      </c>
      <c r="I34" s="1" t="str">
        <v>Sonia Montero</v>
      </c>
      <c r="J34" s="1" t="str">
        <v>Sandro Espinoza, Patrick Rodriguez</v>
      </c>
      <c r="K34" s="1" t="str">
        <v>Jaime Henriquez</v>
      </c>
      <c r="L34" s="1" t="str">
        <v>TAPP-BCRP</v>
      </c>
      <c r="M34" s="1" t="str">
        <v>2026-07-08</v>
      </c>
      <c r="N34" s="1" t="str">
        <v/>
      </c>
      <c r="O34" s="1" t="str">
        <v/>
      </c>
      <c r="P34" s="1" t="str">
        <v/>
      </c>
      <c r="Q34" s="1" t="str">
        <v>2026-09-30</v>
      </c>
      <c r="R34" s="1" t="str">
        <f>IF(Q34="","","Q"&amp;ROUNDUP(MONTH(Q34)/3,0)&amp;"-"&amp;YEAR(Q34))</f>
        <v>Q3-2026</v>
      </c>
      <c r="S34" s="1" t="str">
        <v>Desarrollo</v>
      </c>
      <c r="T34" s="1" t="str">
        <v/>
      </c>
      <c r="U34" s="1" t="str">
        <v/>
      </c>
      <c r="V34" s="1" t="str">
        <v/>
      </c>
      <c r="W34" s="1" t="str">
        <v>Media</v>
      </c>
      <c r="X34" s="1" t="str">
        <v/>
      </c>
      <c r="Y34" s="1" t="str">
        <v/>
      </c>
      <c r="Z34" s="1" t="str">
        <v>2026-07-07</v>
      </c>
      <c r="AA34" s="1" t="str">
        <v/>
      </c>
      <c r="AB34" s="1" t="str">
        <v/>
      </c>
      <c r="AC34" s="1" t="str">
        <v>Se compromete para el Q3</v>
      </c>
      <c r="AD34" s="1" t="str">
        <v/>
      </c>
      <c r="AE34" s="1" t="str">
        <v/>
      </c>
      <c r="AF34" s="1" t="str">
        <v/>
      </c>
      <c r="AG34" s="1" t="str">
        <v>En proceso</v>
      </c>
      <c r="AH34" s="1" t="str">
        <v/>
      </c>
      <c r="AI34" s="1" t="str">
        <v/>
      </c>
      <c r="AJ34" s="1" t="str">
        <v/>
      </c>
      <c r="AK34" s="1" t="str">
        <v/>
      </c>
      <c r="AL34" s="1" t="str">
        <v/>
      </c>
    </row>
    <row r="35">
      <c r="A35" s="1" t="str">
        <v>HIST-0034</v>
      </c>
      <c r="B35" s="1" t="str">
        <v>D0003</v>
      </c>
      <c r="C35" s="1" t="str">
        <v>PPM - BCRP</v>
      </c>
      <c r="D35" s="1" t="str">
        <v/>
      </c>
      <c r="E35" s="1" t="str">
        <v>Modificación</v>
      </c>
      <c r="F35" s="1" t="str">
        <v>OP-0019</v>
      </c>
      <c r="G35" s="1" t="str">
        <v>Vanessa Carranza</v>
      </c>
      <c r="H35" s="1" t="str">
        <v>Gianny Alfaro</v>
      </c>
      <c r="I35" s="1" t="str">
        <v>Sonia Montero</v>
      </c>
      <c r="J35" s="1" t="str">
        <v>Sandro Espinoza, Patrick Rodriguez</v>
      </c>
      <c r="K35" s="1" t="str">
        <v>Jaime Henriquez</v>
      </c>
      <c r="L35" s="1" t="str">
        <v>TAPP-BCRP</v>
      </c>
      <c r="M35" s="1" t="str">
        <v>2026-07-08</v>
      </c>
      <c r="N35" s="1" t="str">
        <v/>
      </c>
      <c r="O35" s="1" t="str">
        <v/>
      </c>
      <c r="P35" s="1" t="str">
        <v/>
      </c>
      <c r="Q35" s="1" t="str">
        <v>2026-09-30</v>
      </c>
      <c r="R35" s="1" t="str">
        <f>IF(Q35="","","Q"&amp;ROUNDUP(MONTH(Q35)/3,0)&amp;"-"&amp;YEAR(Q35))</f>
        <v>Q3-2026</v>
      </c>
      <c r="S35" s="1" t="str">
        <v>Desarrollo</v>
      </c>
      <c r="T35" s="1" t="str">
        <v/>
      </c>
      <c r="U35" s="1" t="str">
        <v/>
      </c>
      <c r="V35" s="1" t="str">
        <v/>
      </c>
      <c r="W35" s="1" t="str">
        <v>Media</v>
      </c>
      <c r="X35" s="1" t="str">
        <v/>
      </c>
      <c r="Y35" s="1" t="str">
        <v/>
      </c>
      <c r="Z35" s="1" t="str">
        <v>2026-07-07</v>
      </c>
      <c r="AA35" s="1" t="str">
        <v/>
      </c>
      <c r="AB35" s="1" t="str">
        <v/>
      </c>
      <c r="AC35" s="1" t="str">
        <v>Se compromete para el Q3</v>
      </c>
      <c r="AD35" s="1" t="str">
        <v/>
      </c>
      <c r="AE35" s="1" t="str">
        <v/>
      </c>
      <c r="AF35" s="1" t="str">
        <v/>
      </c>
      <c r="AG35" s="1" t="str">
        <v>Finalizado</v>
      </c>
      <c r="AH35" s="1" t="str">
        <v>Finalizado</v>
      </c>
      <c r="AI35" s="1" t="str">
        <v/>
      </c>
      <c r="AJ35" s="1" t="str">
        <v/>
      </c>
      <c r="AK35" s="1" t="str">
        <v/>
      </c>
      <c r="AL35" s="1" t="str">
        <v/>
      </c>
    </row>
    <row r="36">
      <c r="A36" s="1" t="str">
        <v>HIST-0035</v>
      </c>
      <c r="B36" s="1" t="str">
        <v>D0023</v>
      </c>
      <c r="C36" s="1" t="str">
        <v>PPM - BCRP</v>
      </c>
      <c r="D36" s="1" t="str">
        <v/>
      </c>
      <c r="E36" s="1" t="str">
        <v>Creación</v>
      </c>
      <c r="F36" s="1" t="str">
        <v/>
      </c>
      <c r="G36" s="1" t="str">
        <v>Vanessa Carranza</v>
      </c>
      <c r="H36" s="1" t="str">
        <v>Gianny Alfaro</v>
      </c>
      <c r="I36" s="1" t="str">
        <v>Sonia Montero</v>
      </c>
      <c r="J36" s="1" t="str">
        <v>Sandro Espinoza, Patrick Rodriguez</v>
      </c>
      <c r="K36" s="1" t="str">
        <v>Jaime Henriquez</v>
      </c>
      <c r="L36" s="1" t="str">
        <v>TAPP-BCRP</v>
      </c>
      <c r="M36" s="1" t="str">
        <v>2026-07-08</v>
      </c>
      <c r="N36" s="1" t="str">
        <v/>
      </c>
      <c r="O36" s="1" t="str">
        <v/>
      </c>
      <c r="P36" s="1" t="str">
        <v/>
      </c>
      <c r="Q36" s="1" t="str">
        <v>TBD</v>
      </c>
      <c r="R36" s="1" t="str">
        <f>IF(Q36="","","Q"&amp;ROUNDUP(MONTH(Q36)/3,0)&amp;"-"&amp;YEAR(Q36))</f>
        <v/>
      </c>
      <c r="S36" s="1" t="str">
        <v>Diseño</v>
      </c>
      <c r="T36" s="1" t="str">
        <v/>
      </c>
      <c r="U36" s="1" t="str">
        <v/>
      </c>
      <c r="V36" s="1" t="str">
        <v/>
      </c>
      <c r="W36" s="1" t="str">
        <v>Media</v>
      </c>
      <c r="X36" s="1" t="str">
        <v/>
      </c>
      <c r="Y36" s="1" t="str">
        <v/>
      </c>
      <c r="Z36" s="1" t="str">
        <v/>
      </c>
      <c r="AA36" s="1" t="str">
        <v/>
      </c>
      <c r="AB36" s="1" t="str">
        <v/>
      </c>
      <c r="AC36" s="1" t="str">
        <v>sin fecha de compromiso</v>
      </c>
      <c r="AD36" s="1" t="str">
        <v/>
      </c>
      <c r="AE36" s="1" t="str">
        <v/>
      </c>
      <c r="AF36" s="1" t="str">
        <v/>
      </c>
      <c r="AG36" s="1" t="str">
        <v/>
      </c>
      <c r="AH36" s="1" t="str">
        <v/>
      </c>
      <c r="AI36" s="1" t="str">
        <v/>
      </c>
      <c r="AJ36" s="1" t="str">
        <v/>
      </c>
      <c r="AK36" s="1" t="str">
        <v/>
      </c>
      <c r="AL36" s="1" t="str">
        <v/>
      </c>
    </row>
    <row r="37">
      <c r="A37" s="1" t="str">
        <v>HIST-0036</v>
      </c>
      <c r="B37" s="1" t="str">
        <v>D0021</v>
      </c>
      <c r="C37" s="1" t="str">
        <v>PPM - BCRP</v>
      </c>
      <c r="D37" s="1" t="str">
        <v/>
      </c>
      <c r="E37" s="1" t="str">
        <v>Modificación</v>
      </c>
      <c r="F37" s="1" t="str">
        <v/>
      </c>
      <c r="G37" s="1" t="str">
        <v>Vanessa Carranza</v>
      </c>
      <c r="H37" s="1" t="str">
        <v>Gianny Alfaro</v>
      </c>
      <c r="I37" s="1" t="str">
        <v>Sonia Montero</v>
      </c>
      <c r="J37" s="1" t="str">
        <v>Sandro Espinoza, Patrick Rodriguez</v>
      </c>
      <c r="K37" s="1" t="str">
        <v>Jaime Henriquez</v>
      </c>
      <c r="L37" s="1" t="str">
        <v>TAPP-BCRP</v>
      </c>
      <c r="M37" s="1" t="str">
        <v>2026-07-08</v>
      </c>
      <c r="N37" s="1" t="str">
        <v/>
      </c>
      <c r="O37" s="1" t="str">
        <v/>
      </c>
      <c r="P37" s="1" t="str">
        <v/>
      </c>
      <c r="Q37" s="1" t="str">
        <v>TBD</v>
      </c>
      <c r="R37" s="1" t="str">
        <f>IF(Q37="","","Q"&amp;ROUNDUP(MONTH(Q37)/3,0)&amp;"-"&amp;YEAR(Q37))</f>
        <v/>
      </c>
      <c r="S37" s="1" t="str">
        <v>Diseño</v>
      </c>
      <c r="T37" s="1" t="str">
        <v/>
      </c>
      <c r="U37" s="1" t="str">
        <v/>
      </c>
      <c r="V37" s="1" t="str">
        <v/>
      </c>
      <c r="W37" s="1" t="str">
        <v>Media</v>
      </c>
      <c r="X37" s="1" t="str">
        <v/>
      </c>
      <c r="Y37" s="1" t="str">
        <v/>
      </c>
      <c r="Z37" s="1" t="str">
        <v/>
      </c>
      <c r="AA37" s="1" t="str">
        <v/>
      </c>
      <c r="AB37" s="1" t="str">
        <v/>
      </c>
      <c r="AC37" s="1" t="str">
        <v>sin fecha de compromiso</v>
      </c>
      <c r="AD37" s="1" t="str">
        <v/>
      </c>
      <c r="AE37" s="1" t="str">
        <v/>
      </c>
      <c r="AF37" s="1" t="str">
        <v/>
      </c>
      <c r="AG37" s="1" t="str">
        <v/>
      </c>
      <c r="AH37" s="1" t="str">
        <v/>
      </c>
      <c r="AI37" s="1" t="str">
        <v/>
      </c>
      <c r="AJ37" s="1" t="str">
        <v/>
      </c>
      <c r="AK37" s="1" t="str">
        <v/>
      </c>
      <c r="AL37" s="1" t="str">
        <v/>
      </c>
    </row>
    <row r="38">
      <c r="A38" s="1" t="str">
        <v>HIST-0037</v>
      </c>
      <c r="B38" s="1" t="str">
        <v>D0024</v>
      </c>
      <c r="C38" s="1" t="str">
        <v>PPM - BCRP</v>
      </c>
      <c r="D38" s="1" t="str">
        <v/>
      </c>
      <c r="E38" s="1" t="str">
        <v>Modificación</v>
      </c>
      <c r="F38" s="1" t="str">
        <v>OP-0020, OP-0021, OP-0022, OP-0023, OP-0024</v>
      </c>
      <c r="G38" s="1" t="str">
        <v>Vanessa Carranza</v>
      </c>
      <c r="H38" s="1" t="str">
        <v>Gianny Alfaro</v>
      </c>
      <c r="I38" s="1" t="str">
        <v>Sonia Montero</v>
      </c>
      <c r="J38" s="1" t="str">
        <v>Sandro Espinoza, Patrick Rodriguez</v>
      </c>
      <c r="K38" s="1" t="str">
        <v>Jaime Henriquez</v>
      </c>
      <c r="L38" s="1" t="str">
        <v>TAPP-BCRP</v>
      </c>
      <c r="M38" s="1" t="str">
        <v>2026-07-08</v>
      </c>
      <c r="N38" s="1" t="str">
        <v/>
      </c>
      <c r="O38" s="1" t="str">
        <v/>
      </c>
      <c r="P38" s="1" t="str">
        <v/>
      </c>
      <c r="Q38" s="1" t="str">
        <v>2026-09-30</v>
      </c>
      <c r="R38" s="1" t="str">
        <f>IF(Q38="","","Q"&amp;ROUNDUP(MONTH(Q38)/3,0)&amp;"-"&amp;YEAR(Q38))</f>
        <v>Q3-2026</v>
      </c>
      <c r="S38" s="1" t="str">
        <v>Desarrollo</v>
      </c>
      <c r="T38" s="1" t="str">
        <v/>
      </c>
      <c r="U38" s="1" t="str">
        <v/>
      </c>
      <c r="V38" s="1" t="str">
        <v/>
      </c>
      <c r="W38" s="1" t="str">
        <v>Alta</v>
      </c>
      <c r="X38" s="1" t="str">
        <v/>
      </c>
      <c r="Y38" s="1" t="str">
        <v/>
      </c>
      <c r="Z38" s="1" t="str">
        <v/>
      </c>
      <c r="AA38" s="1" t="str">
        <v/>
      </c>
      <c r="AB38" s="1" t="str">
        <v/>
      </c>
      <c r="AC38" s="1" t="str">
        <v>Se compromete para el Q3</v>
      </c>
      <c r="AD38" s="1" t="str">
        <v/>
      </c>
      <c r="AE38" s="1" t="str">
        <v/>
      </c>
      <c r="AF38" s="1" t="str">
        <v/>
      </c>
      <c r="AG38" s="1" t="str">
        <v/>
      </c>
      <c r="AH38" s="1" t="str">
        <v/>
      </c>
      <c r="AI38" s="1" t="str">
        <v/>
      </c>
      <c r="AJ38" s="1" t="str">
        <v/>
      </c>
      <c r="AK38" s="1" t="str">
        <v/>
      </c>
      <c r="AL38" s="1" t="str">
        <v/>
      </c>
    </row>
    <row r="39">
      <c r="A39" s="1" t="str">
        <v>HIST-0038</v>
      </c>
      <c r="B39" s="1" t="str">
        <v>D0025</v>
      </c>
      <c r="C39" s="1" t="str">
        <v>PPM - BCRP</v>
      </c>
      <c r="D39" s="1" t="str">
        <v/>
      </c>
      <c r="E39" s="1" t="str">
        <v>Creación</v>
      </c>
      <c r="F39" s="1" t="str">
        <v>OP-0025, OP-0026, OP-0027</v>
      </c>
      <c r="G39" s="1" t="str">
        <v>Vanessa Carranza</v>
      </c>
      <c r="H39" s="1" t="str">
        <v>Gianny Alfaro</v>
      </c>
      <c r="I39" s="1" t="str">
        <v>Sonia Montero</v>
      </c>
      <c r="J39" s="1" t="str">
        <v>Sandro Espinoza, Patrick Rodriguez</v>
      </c>
      <c r="K39" s="1" t="str">
        <v>Jaime Henriquez</v>
      </c>
      <c r="L39" s="1" t="str">
        <v>TAPP-BCRP</v>
      </c>
      <c r="M39" s="1" t="str">
        <v>2026-07-08</v>
      </c>
      <c r="N39" s="1" t="str">
        <v/>
      </c>
      <c r="O39" s="1" t="str">
        <v/>
      </c>
      <c r="P39" s="1" t="str">
        <v/>
      </c>
      <c r="Q39" s="1" t="str">
        <v>2026-09-30</v>
      </c>
      <c r="R39" s="1" t="str">
        <f>IF(Q39="","","Q"&amp;ROUNDUP(MONTH(Q39)/3,0)&amp;"-"&amp;YEAR(Q39))</f>
        <v>Q3-2026</v>
      </c>
      <c r="S39" s="1" t="str">
        <v>Desarrollo</v>
      </c>
      <c r="T39" s="1" t="str">
        <v/>
      </c>
      <c r="U39" s="1" t="str">
        <v/>
      </c>
      <c r="V39" s="1" t="str">
        <v/>
      </c>
      <c r="W39" s="1" t="str">
        <v>Media</v>
      </c>
      <c r="X39" s="1" t="str">
        <v/>
      </c>
      <c r="Y39" s="1" t="str">
        <v/>
      </c>
      <c r="Z39" s="1" t="str">
        <v/>
      </c>
      <c r="AA39" s="1" t="str">
        <v/>
      </c>
      <c r="AB39" s="1" t="str">
        <v/>
      </c>
      <c r="AC39" s="1" t="str">
        <v>Se compromete para el Q3</v>
      </c>
      <c r="AD39" s="1" t="str">
        <v/>
      </c>
      <c r="AE39" s="1" t="str">
        <v/>
      </c>
      <c r="AF39" s="1" t="str">
        <v/>
      </c>
      <c r="AG39" s="1" t="str">
        <v/>
      </c>
      <c r="AH39" s="1" t="str">
        <v/>
      </c>
      <c r="AI39" s="1" t="str">
        <v/>
      </c>
      <c r="AJ39" s="1" t="str">
        <v/>
      </c>
      <c r="AK39" s="1" t="str">
        <v/>
      </c>
      <c r="AL39" s="1" t="str">
        <v/>
      </c>
    </row>
    <row r="40">
      <c r="A40" s="1" t="str">
        <v>HIST-0039</v>
      </c>
      <c r="B40" s="1" t="str">
        <v>D0026</v>
      </c>
      <c r="C40" s="1" t="str">
        <v>PPM - BCRP</v>
      </c>
      <c r="D40" s="1" t="str">
        <v/>
      </c>
      <c r="E40" s="1" t="str">
        <v>Creación</v>
      </c>
      <c r="F40" s="1" t="str">
        <v>OP-0028, OP-0029</v>
      </c>
      <c r="G40" s="1" t="str">
        <v>Vanessa Carranza</v>
      </c>
      <c r="H40" s="1" t="str">
        <v>Gianny Alfaro</v>
      </c>
      <c r="I40" s="1" t="str">
        <v>Sonia Montero</v>
      </c>
      <c r="J40" s="1" t="str">
        <v>Sandro Espinoza, Patrick Rodriguez</v>
      </c>
      <c r="K40" s="1" t="str">
        <v>Jaime Henriquez</v>
      </c>
      <c r="L40" s="1" t="str">
        <v>TAPP-BCRP</v>
      </c>
      <c r="M40" s="1" t="str">
        <v>2026-07-08</v>
      </c>
      <c r="N40" s="1" t="str">
        <v/>
      </c>
      <c r="O40" s="1" t="str">
        <v/>
      </c>
      <c r="P40" s="1" t="str">
        <v/>
      </c>
      <c r="Q40" s="1" t="str">
        <v>2026-09-30</v>
      </c>
      <c r="R40" s="1" t="str">
        <f>IF(Q40="","","Q"&amp;ROUNDUP(MONTH(Q40)/3,0)&amp;"-"&amp;YEAR(Q40))</f>
        <v>Q3-2026</v>
      </c>
      <c r="S40" s="1" t="str">
        <v>Desarrollo</v>
      </c>
      <c r="T40" s="1" t="str">
        <v/>
      </c>
      <c r="U40" s="1" t="str">
        <v/>
      </c>
      <c r="V40" s="1" t="str">
        <v/>
      </c>
      <c r="W40" s="1" t="str">
        <v>Media</v>
      </c>
      <c r="X40" s="1" t="str">
        <v/>
      </c>
      <c r="Y40" s="1" t="str">
        <v/>
      </c>
      <c r="Z40" s="1" t="str">
        <v/>
      </c>
      <c r="AA40" s="1" t="str">
        <v/>
      </c>
      <c r="AB40" s="1" t="str">
        <v/>
      </c>
      <c r="AC40" s="1" t="str">
        <v>Se compromete para el Q3</v>
      </c>
      <c r="AD40" s="1" t="str">
        <v/>
      </c>
      <c r="AE40" s="1" t="str">
        <v/>
      </c>
      <c r="AF40" s="1" t="str">
        <v/>
      </c>
      <c r="AG40" s="1" t="str">
        <v/>
      </c>
      <c r="AH40" s="1" t="str">
        <v/>
      </c>
      <c r="AI40" s="1" t="str">
        <v/>
      </c>
      <c r="AJ40" s="1" t="str">
        <v/>
      </c>
      <c r="AK40" s="1" t="str">
        <v/>
      </c>
      <c r="AL40" s="1" t="str">
        <v/>
      </c>
    </row>
    <row r="41">
      <c r="A41" s="1" t="str">
        <v>HIST-0040</v>
      </c>
      <c r="B41" s="1" t="str">
        <v>D0027</v>
      </c>
      <c r="C41" s="1" t="str">
        <v>PPM - BCRP</v>
      </c>
      <c r="D41" s="1" t="str">
        <v/>
      </c>
      <c r="E41" s="1" t="str">
        <v>Creación</v>
      </c>
      <c r="F41" s="1" t="str">
        <v>OP-0030</v>
      </c>
      <c r="G41" s="1" t="str">
        <v>Vanessa Carranza</v>
      </c>
      <c r="H41" s="1" t="str">
        <v>Gianny Alfaro</v>
      </c>
      <c r="I41" s="1" t="str">
        <v>Sonia Montero</v>
      </c>
      <c r="J41" s="1" t="str">
        <v>Sandro Espinoza, Patrick Rodriguez</v>
      </c>
      <c r="K41" s="1" t="str">
        <v>Jaime Henriquez</v>
      </c>
      <c r="L41" s="1" t="str">
        <v>TAPP-BCRP</v>
      </c>
      <c r="M41" s="1" t="str">
        <v>2026-07-08</v>
      </c>
      <c r="N41" s="1" t="str">
        <v/>
      </c>
      <c r="O41" s="1" t="str">
        <v/>
      </c>
      <c r="P41" s="1" t="str">
        <v/>
      </c>
      <c r="Q41" s="1" t="str">
        <v>2026-09-30</v>
      </c>
      <c r="R41" s="1" t="str">
        <f>IF(Q41="","","Q"&amp;ROUNDUP(MONTH(Q41)/3,0)&amp;"-"&amp;YEAR(Q41))</f>
        <v>Q3-2026</v>
      </c>
      <c r="S41" s="1" t="str">
        <v>Desarrollo</v>
      </c>
      <c r="T41" s="1" t="str">
        <v/>
      </c>
      <c r="U41" s="1" t="str">
        <v/>
      </c>
      <c r="V41" s="1" t="str">
        <v/>
      </c>
      <c r="W41" s="1" t="str">
        <v>Media</v>
      </c>
      <c r="X41" s="1" t="str">
        <v/>
      </c>
      <c r="Y41" s="1" t="str">
        <v/>
      </c>
      <c r="Z41" s="1" t="str">
        <v/>
      </c>
      <c r="AA41" s="1" t="str">
        <v/>
      </c>
      <c r="AB41" s="1" t="str">
        <v/>
      </c>
      <c r="AC41" s="1" t="str">
        <v>BCRP se compromete para el Q3</v>
      </c>
      <c r="AD41" s="1" t="str">
        <v/>
      </c>
      <c r="AE41" s="1" t="str">
        <v/>
      </c>
      <c r="AF41" s="1" t="str">
        <v/>
      </c>
      <c r="AG41" s="1" t="str">
        <v/>
      </c>
      <c r="AH41" s="1" t="str">
        <v/>
      </c>
      <c r="AI41" s="1" t="str">
        <v/>
      </c>
      <c r="AJ41" s="1" t="str">
        <v/>
      </c>
      <c r="AK41" s="1" t="str">
        <v/>
      </c>
      <c r="AL41" s="1" t="str">
        <v/>
      </c>
    </row>
    <row r="42">
      <c r="A42" s="1" t="str">
        <v>HIST-0041</v>
      </c>
      <c r="B42" s="1" t="str">
        <v>D0028</v>
      </c>
      <c r="C42" s="1" t="str">
        <v>PPM - BCRP</v>
      </c>
      <c r="D42" s="1" t="str">
        <v/>
      </c>
      <c r="E42" s="1" t="str">
        <v>Modificación</v>
      </c>
      <c r="F42" s="1" t="str">
        <v/>
      </c>
      <c r="G42" s="1" t="str">
        <v>Vanessa Carranza</v>
      </c>
      <c r="H42" s="1" t="str">
        <v>Gianny Alfaro</v>
      </c>
      <c r="I42" s="1" t="str">
        <v>Sonia Montero</v>
      </c>
      <c r="J42" s="1" t="str">
        <v>Sandro Espinoza, Patrick Rodriguez</v>
      </c>
      <c r="K42" s="1" t="str">
        <v>Jaime Henriquez</v>
      </c>
      <c r="L42" s="1" t="str">
        <v>TAPP-BCRP</v>
      </c>
      <c r="M42" s="1" t="str">
        <v>2026-07-08</v>
      </c>
      <c r="N42" s="1" t="str">
        <v/>
      </c>
      <c r="O42" s="1" t="str">
        <v/>
      </c>
      <c r="P42" s="1" t="str">
        <v/>
      </c>
      <c r="Q42" s="1" t="str">
        <v>2026-12-31</v>
      </c>
      <c r="R42" s="1" t="str">
        <f>IF(Q42="","","Q"&amp;ROUNDUP(MONTH(Q42)/3,0)&amp;"-"&amp;YEAR(Q42))</f>
        <v>Q4-2026</v>
      </c>
      <c r="S42" s="1" t="str">
        <v>Producción</v>
      </c>
      <c r="T42" s="1" t="str">
        <v/>
      </c>
      <c r="U42" s="1" t="str">
        <v/>
      </c>
      <c r="V42" s="1" t="str">
        <v/>
      </c>
      <c r="W42" s="1" t="str">
        <v>Media</v>
      </c>
      <c r="X42" s="1" t="str">
        <v/>
      </c>
      <c r="Y42" s="1" t="str">
        <v/>
      </c>
      <c r="Z42" s="1" t="str">
        <v/>
      </c>
      <c r="AA42" s="1" t="str">
        <v/>
      </c>
      <c r="AB42" s="1" t="str">
        <v/>
      </c>
      <c r="AC42" s="1" t="str">
        <v>Ya lo pasó Neobanco, la modificacion se compromete para el Q4</v>
      </c>
      <c r="AD42" s="1" t="str">
        <v/>
      </c>
      <c r="AE42" s="1" t="str">
        <v/>
      </c>
      <c r="AF42" s="1" t="str">
        <v/>
      </c>
      <c r="AG42" s="1" t="str">
        <v/>
      </c>
      <c r="AH42" s="1" t="str">
        <v/>
      </c>
      <c r="AI42" s="1" t="str">
        <v/>
      </c>
      <c r="AJ42" s="1" t="str">
        <v/>
      </c>
      <c r="AK42" s="1" t="str">
        <v/>
      </c>
      <c r="AL42" s="1" t="str">
        <v/>
      </c>
    </row>
    <row r="43">
      <c r="A43" s="1" t="str">
        <v>HIST-0042</v>
      </c>
      <c r="B43" s="1" t="str">
        <v>D0017</v>
      </c>
      <c r="C43" s="1" t="str">
        <v>PPM - BCRP</v>
      </c>
      <c r="D43" s="1" t="str">
        <v/>
      </c>
      <c r="E43" s="1" t="str">
        <v>Modificación</v>
      </c>
      <c r="F43" s="1" t="str">
        <v/>
      </c>
      <c r="G43" s="1" t="str">
        <v>Vanessa Carranza</v>
      </c>
      <c r="H43" s="1" t="str">
        <v>Gianny Alfaro</v>
      </c>
      <c r="I43" s="1" t="str">
        <v>Sonia Montero</v>
      </c>
      <c r="J43" s="1" t="str">
        <v>Sandro Espinoza, Patrick Rodriguez</v>
      </c>
      <c r="K43" s="1" t="str">
        <v>Jaime Henriquez</v>
      </c>
      <c r="L43" s="1" t="str">
        <v>TAPP-BCRP</v>
      </c>
      <c r="M43" s="1" t="str">
        <v>2026-07-08</v>
      </c>
      <c r="N43" s="1" t="str">
        <v/>
      </c>
      <c r="O43" s="1" t="str">
        <v/>
      </c>
      <c r="P43" s="1" t="str">
        <v/>
      </c>
      <c r="Q43" s="1" t="str">
        <v>2026-12-31</v>
      </c>
      <c r="R43" s="1" t="str">
        <f>IF(Q43="","","Q"&amp;ROUNDUP(MONTH(Q43)/3,0)&amp;"-"&amp;YEAR(Q43))</f>
        <v>Q4-2026</v>
      </c>
      <c r="S43" s="1" t="str">
        <v>Producción</v>
      </c>
      <c r="T43" s="1" t="str">
        <v/>
      </c>
      <c r="U43" s="1" t="str">
        <v/>
      </c>
      <c r="V43" s="1" t="str">
        <v/>
      </c>
      <c r="W43" s="1" t="str">
        <v>Media</v>
      </c>
      <c r="X43" s="1" t="str">
        <v/>
      </c>
      <c r="Y43" s="1" t="str">
        <v/>
      </c>
      <c r="Z43" s="1" t="str">
        <v>2026-07-07</v>
      </c>
      <c r="AA43" s="1" t="str">
        <v/>
      </c>
      <c r="AB43" s="1" t="str">
        <v/>
      </c>
      <c r="AC43" s="1" t="str">
        <v>Ya lo pasó Neobanco, la modificacion se compromete para el Q4</v>
      </c>
      <c r="AD43" s="1" t="str">
        <v/>
      </c>
      <c r="AE43" s="1" t="str">
        <v/>
      </c>
      <c r="AF43" s="1" t="str">
        <v/>
      </c>
      <c r="AG43" s="1" t="str">
        <v>En proceso</v>
      </c>
      <c r="AH43" s="1" t="str">
        <v/>
      </c>
      <c r="AI43" s="1" t="str">
        <v/>
      </c>
      <c r="AJ43" s="1" t="str">
        <v/>
      </c>
      <c r="AK43" s="1" t="str">
        <v/>
      </c>
      <c r="AL43" s="1" t="str">
        <v/>
      </c>
    </row>
    <row r="44">
      <c r="A44" s="1" t="str">
        <v>HIST-0043</v>
      </c>
      <c r="B44" s="1" t="str">
        <v>D0029</v>
      </c>
      <c r="C44" s="1" t="str">
        <v>PPM - BCRP</v>
      </c>
      <c r="D44" s="1" t="str">
        <v/>
      </c>
      <c r="E44" s="1" t="str">
        <v>Modificación</v>
      </c>
      <c r="F44" s="1" t="str">
        <v/>
      </c>
      <c r="G44" s="1" t="str">
        <v>Vanessa Carranza</v>
      </c>
      <c r="H44" s="1" t="str">
        <v>Gianny Alfaro</v>
      </c>
      <c r="I44" s="1" t="str">
        <v>Sonia Montero</v>
      </c>
      <c r="J44" s="1" t="str">
        <v>Sandro Espinoza, Patrick Rodriguez</v>
      </c>
      <c r="K44" s="1" t="str">
        <v>Jaime Henriquez</v>
      </c>
      <c r="L44" s="1" t="str">
        <v>TAPP-BCRP</v>
      </c>
      <c r="M44" s="1" t="str">
        <v>2026-07-08</v>
      </c>
      <c r="N44" s="1" t="str">
        <v/>
      </c>
      <c r="O44" s="1" t="str">
        <v/>
      </c>
      <c r="P44" s="1" t="str">
        <v/>
      </c>
      <c r="Q44" s="1" t="str">
        <v>2026-12-31</v>
      </c>
      <c r="R44" s="1" t="str">
        <f>IF(Q44="","","Q"&amp;ROUNDUP(MONTH(Q44)/3,0)&amp;"-"&amp;YEAR(Q44))</f>
        <v>Q4-2026</v>
      </c>
      <c r="S44" s="1" t="str">
        <v>Producción</v>
      </c>
      <c r="T44" s="1" t="str">
        <v/>
      </c>
      <c r="U44" s="1" t="str">
        <v/>
      </c>
      <c r="V44" s="1" t="str">
        <v/>
      </c>
      <c r="W44" s="1" t="str">
        <v>Media</v>
      </c>
      <c r="X44" s="1" t="str">
        <v/>
      </c>
      <c r="Y44" s="1" t="str">
        <v/>
      </c>
      <c r="Z44" s="1" t="str">
        <v/>
      </c>
      <c r="AA44" s="1" t="str">
        <v/>
      </c>
      <c r="AB44" s="1" t="str">
        <v/>
      </c>
      <c r="AC44" s="1" t="str">
        <v>Ya lo pasó Neobanco, la modificacion se compromete para el Q4</v>
      </c>
      <c r="AD44" s="1" t="str">
        <v/>
      </c>
      <c r="AE44" s="1" t="str">
        <v/>
      </c>
      <c r="AF44" s="1" t="str">
        <v/>
      </c>
      <c r="AG44" s="1" t="str">
        <v/>
      </c>
      <c r="AH44" s="1" t="str">
        <v/>
      </c>
      <c r="AI44" s="1" t="str">
        <v/>
      </c>
      <c r="AJ44" s="1" t="str">
        <v/>
      </c>
      <c r="AK44" s="1" t="str">
        <v/>
      </c>
      <c r="AL44" s="1" t="str">
        <v/>
      </c>
    </row>
    <row r="45">
      <c r="A45" s="1" t="str">
        <v>HIST-0044</v>
      </c>
      <c r="B45" s="1" t="str">
        <v>D0030</v>
      </c>
      <c r="C45" s="1" t="str">
        <v>PPM - BCRP</v>
      </c>
      <c r="D45" s="1" t="str">
        <v/>
      </c>
      <c r="E45" s="1" t="str">
        <v>Creación</v>
      </c>
      <c r="F45" s="1" t="str">
        <v/>
      </c>
      <c r="G45" s="1" t="str">
        <v>Vanessa Carranza</v>
      </c>
      <c r="H45" s="1" t="str">
        <v>Gianny Alfaro</v>
      </c>
      <c r="I45" s="1" t="str">
        <v>Sonia Montero</v>
      </c>
      <c r="J45" s="1" t="str">
        <v>Sandro Espinoza, Patrick Rodriguez</v>
      </c>
      <c r="K45" s="1" t="str">
        <v>Jaime Henriquez</v>
      </c>
      <c r="L45" s="1" t="str">
        <v>TAPP-BCRP</v>
      </c>
      <c r="M45" s="1" t="str">
        <v>2026-07-08</v>
      </c>
      <c r="N45" s="1" t="str">
        <v/>
      </c>
      <c r="O45" s="1" t="str">
        <v/>
      </c>
      <c r="P45" s="1" t="str">
        <v/>
      </c>
      <c r="Q45" s="1" t="str">
        <v>2026-12-31</v>
      </c>
      <c r="R45" s="1" t="str">
        <f>IF(Q45="","","Q"&amp;ROUNDUP(MONTH(Q45)/3,0)&amp;"-"&amp;YEAR(Q45))</f>
        <v>Q4-2026</v>
      </c>
      <c r="S45" s="1" t="str">
        <v>Diseño</v>
      </c>
      <c r="T45" s="1" t="str">
        <v/>
      </c>
      <c r="U45" s="1" t="str">
        <v/>
      </c>
      <c r="V45" s="1" t="str">
        <v/>
      </c>
      <c r="W45" s="1" t="str">
        <v>Media</v>
      </c>
      <c r="X45" s="1" t="str">
        <v/>
      </c>
      <c r="Y45" s="1" t="str">
        <v/>
      </c>
      <c r="Z45" s="1" t="str">
        <v/>
      </c>
      <c r="AA45" s="1" t="str">
        <v/>
      </c>
      <c r="AB45" s="1" t="str">
        <v/>
      </c>
      <c r="AC45" s="1" t="str">
        <v>Se compromete para el Q4, deben coordinar con proyecto Interconexion (tambien lo tiene para el Q4)</v>
      </c>
      <c r="AD45" s="1" t="str">
        <v/>
      </c>
      <c r="AE45" s="1" t="str">
        <v/>
      </c>
      <c r="AF45" s="1" t="str">
        <v/>
      </c>
      <c r="AG45" s="1" t="str">
        <v/>
      </c>
      <c r="AH45" s="1" t="str">
        <v/>
      </c>
      <c r="AI45" s="1" t="str">
        <v/>
      </c>
      <c r="AJ45" s="1" t="str">
        <v/>
      </c>
      <c r="AK45" s="1" t="str">
        <v/>
      </c>
      <c r="AL45" s="1" t="str">
        <v/>
      </c>
    </row>
    <row r="46">
      <c r="A46" s="1" t="str">
        <v>HIST-0045</v>
      </c>
      <c r="B46" s="1" t="str">
        <v>D0031</v>
      </c>
      <c r="C46" s="1" t="str">
        <v>PPM - BCRP</v>
      </c>
      <c r="D46" s="1" t="str">
        <v/>
      </c>
      <c r="E46" s="1" t="str">
        <v>Creación</v>
      </c>
      <c r="F46" s="1" t="str">
        <v/>
      </c>
      <c r="G46" s="1" t="str">
        <v>Vanessa Carranza</v>
      </c>
      <c r="H46" s="1" t="str">
        <v>Gianny Alfaro</v>
      </c>
      <c r="I46" s="1" t="str">
        <v>Sonia Montero</v>
      </c>
      <c r="J46" s="1" t="str">
        <v>Sandro Espinoza, Patrick Rodriguez</v>
      </c>
      <c r="K46" s="1" t="str">
        <v>Jaime Henriquez</v>
      </c>
      <c r="L46" s="1" t="str">
        <v>TAPP-BCRP</v>
      </c>
      <c r="M46" s="1" t="str">
        <v>2026-07-08</v>
      </c>
      <c r="N46" s="1" t="str">
        <v/>
      </c>
      <c r="O46" s="1" t="str">
        <v/>
      </c>
      <c r="P46" s="1" t="str">
        <v/>
      </c>
      <c r="Q46" s="1" t="str">
        <v>2026-12-31</v>
      </c>
      <c r="R46" s="1" t="str">
        <f>IF(Q46="","","Q"&amp;ROUNDUP(MONTH(Q46)/3,0)&amp;"-"&amp;YEAR(Q46))</f>
        <v>Q4-2026</v>
      </c>
      <c r="S46" s="1" t="str">
        <v>Diseño</v>
      </c>
      <c r="T46" s="1" t="str">
        <v/>
      </c>
      <c r="U46" s="1" t="str">
        <v/>
      </c>
      <c r="V46" s="1" t="str">
        <v/>
      </c>
      <c r="W46" s="1" t="str">
        <v>Media</v>
      </c>
      <c r="X46" s="1" t="str">
        <v/>
      </c>
      <c r="Y46" s="1" t="str">
        <v/>
      </c>
      <c r="Z46" s="1" t="str">
        <v/>
      </c>
      <c r="AA46" s="1" t="str">
        <v/>
      </c>
      <c r="AB46" s="1" t="str">
        <v/>
      </c>
      <c r="AC46" s="1" t="str">
        <v>Se compromete para el Q4, deben coordinar con proyecto Interconexion (tambien lo tiene para el Q4)</v>
      </c>
      <c r="AD46" s="1" t="str">
        <v/>
      </c>
      <c r="AE46" s="1" t="str">
        <v/>
      </c>
      <c r="AF46" s="1" t="str">
        <v/>
      </c>
      <c r="AG46" s="1" t="str">
        <v/>
      </c>
      <c r="AH46" s="1" t="str">
        <v/>
      </c>
      <c r="AI46" s="1" t="str">
        <v/>
      </c>
      <c r="AJ46" s="1" t="str">
        <v/>
      </c>
      <c r="AK46" s="1" t="str">
        <v/>
      </c>
      <c r="AL46" s="1" t="str">
        <v/>
      </c>
    </row>
    <row r="47">
      <c r="A47" s="1" t="str">
        <v>HIST-0046</v>
      </c>
      <c r="B47" s="1" t="str">
        <v>D0032</v>
      </c>
      <c r="C47" s="1" t="str">
        <v>PPM - BCRP</v>
      </c>
      <c r="D47" s="1" t="str">
        <v/>
      </c>
      <c r="E47" s="1" t="str">
        <v>Modificación</v>
      </c>
      <c r="F47" s="1" t="str">
        <v/>
      </c>
      <c r="G47" s="1" t="str">
        <v>Vanessa Carranza</v>
      </c>
      <c r="H47" s="1" t="str">
        <v>Gianny Alfaro</v>
      </c>
      <c r="I47" s="1" t="str">
        <v>Sonia Montero</v>
      </c>
      <c r="J47" s="1" t="str">
        <v>Sandro Espinoza, Patrick Rodriguez</v>
      </c>
      <c r="K47" s="1" t="str">
        <v>Jaime Henriquez</v>
      </c>
      <c r="L47" s="1" t="str">
        <v>TAPP-BCRP</v>
      </c>
      <c r="M47" s="1" t="str">
        <v>2026-07-08</v>
      </c>
      <c r="N47" s="1" t="str">
        <v/>
      </c>
      <c r="O47" s="1" t="str">
        <v/>
      </c>
      <c r="P47" s="1" t="str">
        <v/>
      </c>
      <c r="Q47" s="1" t="str">
        <v>2026-12-31</v>
      </c>
      <c r="R47" s="1" t="str">
        <f>IF(Q47="","","Q"&amp;ROUNDUP(MONTH(Q47)/3,0)&amp;"-"&amp;YEAR(Q47))</f>
        <v>Q4-2026</v>
      </c>
      <c r="S47" s="1" t="str">
        <v>Diseño</v>
      </c>
      <c r="T47" s="1" t="str">
        <v/>
      </c>
      <c r="U47" s="1" t="str">
        <v/>
      </c>
      <c r="V47" s="1" t="str">
        <v/>
      </c>
      <c r="W47" s="1" t="str">
        <v>Media</v>
      </c>
      <c r="X47" s="1" t="str">
        <v/>
      </c>
      <c r="Y47" s="1" t="str">
        <v/>
      </c>
      <c r="Z47" s="1" t="str">
        <v/>
      </c>
      <c r="AA47" s="1" t="str">
        <v/>
      </c>
      <c r="AB47" s="1" t="str">
        <v/>
      </c>
      <c r="AC47" s="1" t="str">
        <v>Se ha acordado que primero lo entrega NCD, y la modificacion se compromete para el Q4</v>
      </c>
      <c r="AD47" s="1" t="str">
        <v/>
      </c>
      <c r="AE47" s="1" t="str">
        <v/>
      </c>
      <c r="AF47" s="1" t="str">
        <v/>
      </c>
      <c r="AG47" s="1" t="str">
        <v/>
      </c>
      <c r="AH47" s="1" t="str">
        <v/>
      </c>
      <c r="AI47" s="1" t="str">
        <v/>
      </c>
      <c r="AJ47" s="1" t="str">
        <v/>
      </c>
      <c r="AK47" s="1" t="str">
        <v/>
      </c>
      <c r="AL47" s="1" t="str">
        <v/>
      </c>
    </row>
    <row r="48">
      <c r="A48" s="1" t="str">
        <v>HIST-0047</v>
      </c>
      <c r="B48" s="1" t="str">
        <v>D0033</v>
      </c>
      <c r="C48" s="1" t="str">
        <v>PPM - BCRP</v>
      </c>
      <c r="D48" s="1" t="str">
        <v/>
      </c>
      <c r="E48" s="1" t="str">
        <v>Creación</v>
      </c>
      <c r="F48" s="1" t="str">
        <v/>
      </c>
      <c r="G48" s="1" t="str">
        <v>Vanessa Carranza</v>
      </c>
      <c r="H48" s="1" t="str">
        <v>Gianny Alfaro</v>
      </c>
      <c r="I48" s="1" t="str">
        <v>Sonia Montero</v>
      </c>
      <c r="J48" s="1" t="str">
        <v>Sandro Espinoza, Patrick Rodriguez</v>
      </c>
      <c r="K48" s="1" t="str">
        <v>Jaime Henriquez</v>
      </c>
      <c r="L48" s="1" t="str">
        <v>TAPP-BCRP</v>
      </c>
      <c r="M48" s="1" t="str">
        <v>2026-07-08</v>
      </c>
      <c r="N48" s="1" t="str">
        <v/>
      </c>
      <c r="O48" s="1" t="str">
        <v/>
      </c>
      <c r="P48" s="1" t="str">
        <v/>
      </c>
      <c r="Q48" s="1" t="str">
        <v>2026-12-31</v>
      </c>
      <c r="R48" s="1" t="str">
        <f>IF(Q48="","","Q"&amp;ROUNDUP(MONTH(Q48)/3,0)&amp;"-"&amp;YEAR(Q48))</f>
        <v>Q4-2026</v>
      </c>
      <c r="S48" s="1" t="str">
        <v>Diseño</v>
      </c>
      <c r="T48" s="1" t="str">
        <v/>
      </c>
      <c r="U48" s="1" t="str">
        <v/>
      </c>
      <c r="V48" s="1" t="str">
        <v/>
      </c>
      <c r="W48" s="1" t="str">
        <v>Media</v>
      </c>
      <c r="X48" s="1" t="str">
        <v/>
      </c>
      <c r="Y48" s="1" t="str">
        <v/>
      </c>
      <c r="Z48" s="1" t="str">
        <v>2026-07-08</v>
      </c>
      <c r="AA48" s="1" t="str">
        <v/>
      </c>
      <c r="AB48" s="1" t="str">
        <v/>
      </c>
      <c r="AC48" s="1" t="str">
        <v>Se compromete para el Q4</v>
      </c>
      <c r="AD48" s="1" t="str">
        <v/>
      </c>
      <c r="AE48" s="1" t="str">
        <v/>
      </c>
      <c r="AF48" s="1" t="str">
        <v/>
      </c>
      <c r="AG48" s="1" t="str">
        <v/>
      </c>
      <c r="AH48" s="1" t="str">
        <v/>
      </c>
      <c r="AI48" s="1" t="str">
        <v/>
      </c>
      <c r="AJ48" s="1" t="str">
        <v/>
      </c>
      <c r="AK48" s="1" t="str">
        <v/>
      </c>
      <c r="AL48" s="1" t="str">
        <v/>
      </c>
    </row>
    <row r="49">
      <c r="A49" s="1" t="str">
        <v>HIST-0048</v>
      </c>
      <c r="B49" s="1" t="str">
        <v>D0003</v>
      </c>
      <c r="C49" s="1" t="str">
        <v>Fraudes</v>
      </c>
      <c r="D49" s="1" t="str">
        <v/>
      </c>
      <c r="E49" s="1" t="str">
        <v>Modificación</v>
      </c>
      <c r="F49" s="1" t="str">
        <v/>
      </c>
      <c r="G49" s="1" t="str">
        <v>Manuel Espin</v>
      </c>
      <c r="H49" s="1" t="str">
        <v>Nelson Cuba</v>
      </c>
      <c r="I49" s="1" t="str">
        <v>Jossi Chamorro</v>
      </c>
      <c r="J49" s="1" t="str">
        <v>Jerameel Benites</v>
      </c>
      <c r="K49" s="1" t="str">
        <v>José Zumaeta</v>
      </c>
      <c r="L49" s="1" t="str">
        <v>nueva APP</v>
      </c>
      <c r="M49" s="1" t="str">
        <v>2026-07-09</v>
      </c>
      <c r="N49" s="1" t="str">
        <v/>
      </c>
      <c r="O49" s="1" t="str">
        <v/>
      </c>
      <c r="P49" s="1" t="str">
        <v/>
      </c>
      <c r="Q49" s="1" t="str">
        <v>2026-12-31</v>
      </c>
      <c r="R49" s="1" t="str">
        <f>IF(Q49="","","Q"&amp;ROUNDUP(MONTH(Q49)/3,0)&amp;"-"&amp;YEAR(Q49))</f>
        <v>Q4-2026</v>
      </c>
      <c r="S49" s="1" t="str">
        <v>Diseño</v>
      </c>
      <c r="T49" s="1" t="str">
        <v/>
      </c>
      <c r="U49" s="1" t="str">
        <v/>
      </c>
      <c r="V49" s="1" t="str">
        <v/>
      </c>
      <c r="W49" s="1" t="str">
        <v>Media</v>
      </c>
      <c r="X49" s="1" t="str">
        <v/>
      </c>
      <c r="Y49" s="1" t="str">
        <v/>
      </c>
      <c r="Z49" s="1" t="str">
        <v>2026-07-07</v>
      </c>
      <c r="AA49" s="1" t="str">
        <v/>
      </c>
      <c r="AB49" s="1" t="str">
        <v/>
      </c>
      <c r="AC49" s="1" t="str">
        <v>Diseño terminado, se planifica entregar en el Q4</v>
      </c>
      <c r="AD49" s="1" t="str">
        <v/>
      </c>
      <c r="AE49" s="1" t="str">
        <v/>
      </c>
      <c r="AF49" s="1" t="str">
        <v/>
      </c>
      <c r="AG49" s="1" t="str">
        <v>Finalizado</v>
      </c>
      <c r="AH49" s="1" t="str">
        <v>Finalizado</v>
      </c>
      <c r="AI49" s="1" t="str">
        <v/>
      </c>
      <c r="AJ49" s="1" t="str">
        <v/>
      </c>
      <c r="AK49" s="1" t="str">
        <v/>
      </c>
      <c r="AL49" s="1" t="str">
        <v/>
      </c>
    </row>
    <row r="50">
      <c r="A50" s="1" t="str">
        <v>HIST-0049</v>
      </c>
      <c r="B50" s="1" t="str">
        <v>D0032</v>
      </c>
      <c r="C50" s="1" t="str">
        <v>Fraudes</v>
      </c>
      <c r="D50" s="1" t="str">
        <v/>
      </c>
      <c r="E50" s="1" t="str">
        <v>Creación</v>
      </c>
      <c r="F50" s="1" t="str">
        <v/>
      </c>
      <c r="G50" s="1" t="str">
        <v>Manuel Espin</v>
      </c>
      <c r="H50" s="1" t="str">
        <v>Nelson Cuba</v>
      </c>
      <c r="I50" s="1" t="str">
        <v>Jossi Chamorro</v>
      </c>
      <c r="J50" s="1" t="str">
        <v>Jerameel Benites</v>
      </c>
      <c r="K50" s="1" t="str">
        <v>José Zumaeta</v>
      </c>
      <c r="L50" s="1" t="str">
        <v>Fraudes</v>
      </c>
      <c r="M50" s="1" t="str">
        <v>2026-07-09</v>
      </c>
      <c r="N50" s="1" t="str">
        <v/>
      </c>
      <c r="O50" s="1" t="str">
        <v/>
      </c>
      <c r="P50" s="1" t="str">
        <v/>
      </c>
      <c r="Q50" s="1" t="str">
        <v>2026-12-31</v>
      </c>
      <c r="R50" s="1" t="str">
        <f>IF(Q50="","","Q"&amp;ROUNDUP(MONTH(Q50)/3,0)&amp;"-"&amp;YEAR(Q50))</f>
        <v>Q4-2026</v>
      </c>
      <c r="S50" s="1" t="str">
        <v>Diseño</v>
      </c>
      <c r="T50" s="1" t="str">
        <v/>
      </c>
      <c r="U50" s="1" t="str">
        <v/>
      </c>
      <c r="V50" s="1" t="str">
        <v/>
      </c>
      <c r="W50" s="1" t="str">
        <v>Media</v>
      </c>
      <c r="X50" s="1" t="str">
        <v/>
      </c>
      <c r="Y50" s="1" t="str">
        <v/>
      </c>
      <c r="Z50" s="1" t="str">
        <v/>
      </c>
      <c r="AA50" s="1" t="str">
        <v/>
      </c>
      <c r="AB50" s="1" t="str">
        <v/>
      </c>
      <c r="AC50" s="1" t="str">
        <v>Diseño terminado, se planifica entregar en el Q4</v>
      </c>
      <c r="AD50" s="1" t="str">
        <v/>
      </c>
      <c r="AE50" s="1" t="str">
        <v/>
      </c>
      <c r="AF50" s="1" t="str">
        <v/>
      </c>
      <c r="AG50" s="1" t="str">
        <v/>
      </c>
      <c r="AH50" s="1" t="str">
        <v/>
      </c>
      <c r="AI50" s="1" t="str">
        <v/>
      </c>
      <c r="AJ50" s="1" t="str">
        <v/>
      </c>
      <c r="AK50" s="1" t="str">
        <v/>
      </c>
      <c r="AL50" s="1" t="str">
        <v/>
      </c>
    </row>
    <row r="51">
      <c r="A51" s="1" t="str">
        <v>HIST-0050</v>
      </c>
      <c r="B51" s="1" t="str">
        <v>D0034</v>
      </c>
      <c r="C51" s="1" t="str">
        <v>Fraudes</v>
      </c>
      <c r="D51" s="1" t="str">
        <v/>
      </c>
      <c r="E51" s="1" t="str">
        <v>Creación</v>
      </c>
      <c r="F51" s="1" t="str">
        <v/>
      </c>
      <c r="G51" s="1" t="str">
        <v>Manuel Espin</v>
      </c>
      <c r="H51" s="1" t="str">
        <v>Nelson Cuba</v>
      </c>
      <c r="I51" s="1" t="str">
        <v>Jossi Chamorro</v>
      </c>
      <c r="J51" s="1" t="str">
        <v>Jerameel Benites</v>
      </c>
      <c r="K51" s="1" t="str">
        <v>José Zumaeta</v>
      </c>
      <c r="L51" s="1" t="str">
        <v>Fraudes</v>
      </c>
      <c r="M51" s="1" t="str">
        <v>2026-07-09</v>
      </c>
      <c r="N51" s="1" t="str">
        <v/>
      </c>
      <c r="O51" s="1" t="str">
        <v/>
      </c>
      <c r="P51" s="1" t="str">
        <v/>
      </c>
      <c r="Q51" s="1" t="str">
        <v>2026-12-31</v>
      </c>
      <c r="R51" s="1" t="str">
        <f>IF(Q51="","","Q"&amp;ROUNDUP(MONTH(Q51)/3,0)&amp;"-"&amp;YEAR(Q51))</f>
        <v>Q4-2026</v>
      </c>
      <c r="S51" s="1" t="str">
        <v>Diseño</v>
      </c>
      <c r="T51" s="1" t="str">
        <v/>
      </c>
      <c r="U51" s="1" t="str">
        <v/>
      </c>
      <c r="V51" s="1" t="str">
        <v/>
      </c>
      <c r="W51" s="1" t="str">
        <v>Media</v>
      </c>
      <c r="X51" s="1" t="str">
        <v/>
      </c>
      <c r="Y51" s="1" t="str">
        <v/>
      </c>
      <c r="Z51" s="1" t="str">
        <v>2026-07-08</v>
      </c>
      <c r="AA51" s="1" t="str">
        <v/>
      </c>
      <c r="AB51" s="1" t="str">
        <v/>
      </c>
      <c r="AC51" s="1" t="str">
        <v>Diseño terminado, se planifica entregar en el Q4</v>
      </c>
      <c r="AD51" s="1" t="str">
        <v/>
      </c>
      <c r="AE51" s="1" t="str">
        <v/>
      </c>
      <c r="AF51" s="1" t="str">
        <v/>
      </c>
      <c r="AG51" s="1" t="str">
        <v/>
      </c>
      <c r="AH51" s="1" t="str">
        <v/>
      </c>
      <c r="AI51" s="1" t="str">
        <v/>
      </c>
      <c r="AJ51" s="1" t="str">
        <v/>
      </c>
      <c r="AK51" s="1" t="str">
        <v/>
      </c>
      <c r="AL51" s="1" t="str">
        <v/>
      </c>
    </row>
    <row r="52">
      <c r="A52" s="1" t="str">
        <v>HIST-0051</v>
      </c>
      <c r="B52" s="1" t="str">
        <v>D0007</v>
      </c>
      <c r="C52" s="1" t="str">
        <v>Fraudes</v>
      </c>
      <c r="D52" s="1" t="str">
        <v/>
      </c>
      <c r="E52" s="1" t="str">
        <v>Modificación</v>
      </c>
      <c r="F52" s="1" t="str">
        <v/>
      </c>
      <c r="G52" s="1" t="str">
        <v>Manuel Espin</v>
      </c>
      <c r="H52" s="1" t="str">
        <v>Nelson Cuba</v>
      </c>
      <c r="I52" s="1" t="str">
        <v>Jossi Chamorro</v>
      </c>
      <c r="J52" s="1" t="str">
        <v>Jerameel Benites</v>
      </c>
      <c r="K52" s="1" t="str">
        <v>José Zumaeta</v>
      </c>
      <c r="L52" s="1" t="str">
        <v>Fraudes</v>
      </c>
      <c r="M52" s="1" t="str">
        <v>2026-07-09</v>
      </c>
      <c r="N52" s="1" t="str">
        <v/>
      </c>
      <c r="O52" s="1" t="str">
        <v/>
      </c>
      <c r="P52" s="1" t="str">
        <v/>
      </c>
      <c r="Q52" s="1" t="str">
        <v>2026-12-31</v>
      </c>
      <c r="R52" s="1" t="str">
        <f>IF(Q52="","","Q"&amp;ROUNDUP(MONTH(Q52)/3,0)&amp;"-"&amp;YEAR(Q52))</f>
        <v>Q4-2026</v>
      </c>
      <c r="S52" s="1" t="str">
        <v>Diseño</v>
      </c>
      <c r="T52" s="1" t="str">
        <v/>
      </c>
      <c r="U52" s="1" t="str">
        <v/>
      </c>
      <c r="V52" s="1" t="str">
        <v/>
      </c>
      <c r="W52" s="1" t="str">
        <v>Media</v>
      </c>
      <c r="X52" s="1" t="str">
        <v/>
      </c>
      <c r="Y52" s="1" t="str">
        <v/>
      </c>
      <c r="Z52" s="1" t="str">
        <v>2026-07-07</v>
      </c>
      <c r="AA52" s="1" t="str">
        <v/>
      </c>
      <c r="AB52" s="1" t="str">
        <v/>
      </c>
      <c r="AC52" s="1" t="str">
        <v>Diseño terminado, se planifica entregar en el Q4</v>
      </c>
      <c r="AD52" s="1" t="str">
        <v/>
      </c>
      <c r="AE52" s="1" t="str">
        <v/>
      </c>
      <c r="AF52" s="1" t="str">
        <v/>
      </c>
      <c r="AG52" s="1" t="str">
        <v>En proceso</v>
      </c>
      <c r="AH52" s="1" t="str">
        <v/>
      </c>
      <c r="AI52" s="1" t="str">
        <v/>
      </c>
      <c r="AJ52" s="1" t="str">
        <v/>
      </c>
      <c r="AK52" s="1" t="str">
        <v/>
      </c>
      <c r="AL52" s="1" t="str">
        <v/>
      </c>
    </row>
    <row r="53">
      <c r="A53" s="1" t="str">
        <v>HIST-0052</v>
      </c>
      <c r="B53" s="1" t="str">
        <v>D0035</v>
      </c>
      <c r="C53" s="1" t="str">
        <v>Urpi Pro</v>
      </c>
      <c r="D53" s="1" t="str">
        <v/>
      </c>
      <c r="E53" s="1" t="str">
        <v>Creación</v>
      </c>
      <c r="F53" s="1" t="str">
        <v/>
      </c>
      <c r="G53" s="1" t="str">
        <v>Maria Reyes</v>
      </c>
      <c r="H53" s="1" t="str">
        <v>Carlos Solano</v>
      </c>
      <c r="I53" s="1" t="str">
        <v/>
      </c>
      <c r="J53" s="1" t="str">
        <v>Edwin Suarez</v>
      </c>
      <c r="K53" s="1" t="str">
        <v>Luis Palomino</v>
      </c>
      <c r="L53" s="1" t="str">
        <v>Urpi Pro</v>
      </c>
      <c r="M53" s="1" t="str">
        <v>2026-07-08</v>
      </c>
      <c r="N53" s="1" t="str">
        <v/>
      </c>
      <c r="O53" s="1" t="str">
        <v/>
      </c>
      <c r="P53" s="1" t="str">
        <v/>
      </c>
      <c r="Q53" s="1" t="str">
        <v>TBD</v>
      </c>
      <c r="R53" s="1" t="str">
        <f>IF(Q53="","","Q"&amp;ROUNDUP(MONTH(Q53)/3,0)&amp;"-"&amp;YEAR(Q53))</f>
        <v/>
      </c>
      <c r="S53" s="1" t="str">
        <v>Diseño</v>
      </c>
      <c r="T53" s="1" t="str">
        <v/>
      </c>
      <c r="U53" s="1" t="str">
        <v/>
      </c>
      <c r="V53" s="1" t="str">
        <v/>
      </c>
      <c r="W53" s="1" t="str">
        <v>Media</v>
      </c>
      <c r="X53" s="1" t="str">
        <v/>
      </c>
      <c r="Y53" s="1" t="str">
        <v/>
      </c>
      <c r="Z53" s="1" t="str">
        <v>2026-07-08</v>
      </c>
      <c r="AA53" s="1" t="str">
        <v/>
      </c>
      <c r="AB53" s="1" t="str">
        <v/>
      </c>
      <c r="AC53" s="1" t="str">
        <v>Interconexion lo entrega en el Q3, probablemente Urpi Pro lo modifique para el Q4, Confirmar Planificación con TTL Carlos Solano</v>
      </c>
      <c r="AD53" s="1" t="str">
        <v/>
      </c>
      <c r="AE53" s="1" t="str">
        <v/>
      </c>
      <c r="AF53" s="1" t="str">
        <v/>
      </c>
      <c r="AG53" s="1" t="str">
        <v/>
      </c>
      <c r="AH53" s="1" t="str">
        <v/>
      </c>
      <c r="AI53" s="1" t="str">
        <v/>
      </c>
      <c r="AJ53" s="1" t="str">
        <v/>
      </c>
      <c r="AK53" s="1" t="str">
        <v/>
      </c>
      <c r="AL53" s="1" t="str">
        <v/>
      </c>
    </row>
    <row r="54">
      <c r="A54" s="1" t="str">
        <v>HIST-0053</v>
      </c>
      <c r="B54" s="1" t="str">
        <v>D0036</v>
      </c>
      <c r="C54" s="1" t="str">
        <v>Urpi Pro</v>
      </c>
      <c r="D54" s="1" t="str">
        <v/>
      </c>
      <c r="E54" s="1" t="str">
        <v>Creación</v>
      </c>
      <c r="F54" s="1" t="str">
        <v/>
      </c>
      <c r="G54" s="1" t="str">
        <v>Maria Reyes</v>
      </c>
      <c r="H54" s="1" t="str">
        <v>Carlos Solano</v>
      </c>
      <c r="I54" s="1" t="str">
        <v/>
      </c>
      <c r="J54" s="1" t="str">
        <v>Edwin Suarez</v>
      </c>
      <c r="K54" s="1" t="str">
        <v>Luis Palomino</v>
      </c>
      <c r="L54" s="1" t="str">
        <v>Urpi Pro</v>
      </c>
      <c r="M54" s="1" t="str">
        <v>2026-07-08</v>
      </c>
      <c r="N54" s="1" t="str">
        <v/>
      </c>
      <c r="O54" s="1" t="str">
        <v/>
      </c>
      <c r="P54" s="1" t="str">
        <v/>
      </c>
      <c r="Q54" s="1" t="str">
        <v>TBD</v>
      </c>
      <c r="R54" s="1" t="str">
        <f>IF(Q54="","","Q"&amp;ROUNDUP(MONTH(Q54)/3,0)&amp;"-"&amp;YEAR(Q54))</f>
        <v/>
      </c>
      <c r="S54" s="1" t="str">
        <v>Diseño</v>
      </c>
      <c r="T54" s="1" t="str">
        <v/>
      </c>
      <c r="U54" s="1" t="str">
        <v/>
      </c>
      <c r="V54" s="1" t="str">
        <v/>
      </c>
      <c r="W54" s="1" t="str">
        <v>Media</v>
      </c>
      <c r="X54" s="1" t="str">
        <v/>
      </c>
      <c r="Y54" s="1" t="str">
        <v/>
      </c>
      <c r="Z54" s="1" t="str">
        <v>2026-07-08</v>
      </c>
      <c r="AA54" s="1" t="str">
        <v/>
      </c>
      <c r="AB54" s="1" t="str">
        <v/>
      </c>
      <c r="AC54" s="1" t="str">
        <v>Confirmar Planificación con TTL Carlos Solano o Edwin Suarez</v>
      </c>
      <c r="AD54" s="1" t="str">
        <v/>
      </c>
      <c r="AE54" s="1" t="str">
        <v/>
      </c>
      <c r="AF54" s="1" t="str">
        <v/>
      </c>
      <c r="AG54" s="1" t="str">
        <v/>
      </c>
      <c r="AH54" s="1" t="str">
        <v/>
      </c>
      <c r="AI54" s="1" t="str">
        <v/>
      </c>
      <c r="AJ54" s="1" t="str">
        <v/>
      </c>
      <c r="AK54" s="1" t="str">
        <v/>
      </c>
      <c r="AL54" s="1" t="str">
        <v/>
      </c>
    </row>
    <row r="55">
      <c r="A55" s="1" t="str">
        <v>HIST-0054</v>
      </c>
      <c r="B55" s="1" t="str">
        <v>D0037</v>
      </c>
      <c r="C55" s="1" t="str">
        <v>Urpi Pro</v>
      </c>
      <c r="D55" s="1" t="str">
        <v/>
      </c>
      <c r="E55" s="1" t="str">
        <v>Creación</v>
      </c>
      <c r="F55" s="1" t="str">
        <v/>
      </c>
      <c r="G55" s="1" t="str">
        <v>Maria Reyes</v>
      </c>
      <c r="H55" s="1" t="str">
        <v>Carlos Solano</v>
      </c>
      <c r="I55" s="1" t="str">
        <v/>
      </c>
      <c r="J55" s="1" t="str">
        <v>Edwin Suarez</v>
      </c>
      <c r="K55" s="1" t="str">
        <v>Luis Palomino</v>
      </c>
      <c r="L55" s="1" t="str">
        <v>Urpi Pro</v>
      </c>
      <c r="M55" s="1" t="str">
        <v>2026-07-08</v>
      </c>
      <c r="N55" s="1" t="str">
        <v/>
      </c>
      <c r="O55" s="1" t="str">
        <v/>
      </c>
      <c r="P55" s="1" t="str">
        <v/>
      </c>
      <c r="Q55" s="1" t="str">
        <v>TBD</v>
      </c>
      <c r="R55" s="1" t="str">
        <f>IF(Q55="","","Q"&amp;ROUNDUP(MONTH(Q55)/3,0)&amp;"-"&amp;YEAR(Q55))</f>
        <v/>
      </c>
      <c r="S55" s="1" t="str">
        <v>Diseño</v>
      </c>
      <c r="T55" s="1" t="str">
        <v/>
      </c>
      <c r="U55" s="1" t="str">
        <v/>
      </c>
      <c r="V55" s="1" t="str">
        <v/>
      </c>
      <c r="W55" s="1" t="str">
        <v>Media</v>
      </c>
      <c r="X55" s="1" t="str">
        <v/>
      </c>
      <c r="Y55" s="1" t="str">
        <v/>
      </c>
      <c r="Z55" s="1" t="str">
        <v>2026-07-08</v>
      </c>
      <c r="AA55" s="1" t="str">
        <v/>
      </c>
      <c r="AB55" s="1" t="str">
        <v/>
      </c>
      <c r="AC55" s="1" t="str">
        <v>Confirmar Planificación con TTL Carlos Solano o Edwin Suarez</v>
      </c>
      <c r="AD55" s="1" t="str">
        <v/>
      </c>
      <c r="AE55" s="1" t="str">
        <v/>
      </c>
      <c r="AF55" s="1" t="str">
        <v/>
      </c>
      <c r="AG55" s="1" t="str">
        <v/>
      </c>
      <c r="AH55" s="1" t="str">
        <v/>
      </c>
      <c r="AI55" s="1" t="str">
        <v/>
      </c>
      <c r="AJ55" s="1" t="str">
        <v/>
      </c>
      <c r="AK55" s="1" t="str">
        <v/>
      </c>
      <c r="AL55" s="1" t="str">
        <v/>
      </c>
    </row>
    <row r="56">
      <c r="A56" s="1" t="str">
        <v>HIST-0055</v>
      </c>
      <c r="B56" s="1" t="str">
        <v>D0038</v>
      </c>
      <c r="C56" s="1" t="str">
        <v>Urpi Pro</v>
      </c>
      <c r="D56" s="1" t="str">
        <v/>
      </c>
      <c r="E56" s="1" t="str">
        <v/>
      </c>
      <c r="F56" s="1" t="str">
        <v/>
      </c>
      <c r="G56" s="1" t="str">
        <v>Maria Reyes</v>
      </c>
      <c r="H56" s="1" t="str">
        <v>Carlos Solano</v>
      </c>
      <c r="I56" s="1" t="str">
        <v/>
      </c>
      <c r="J56" s="1" t="str">
        <v>Edwin Suarez</v>
      </c>
      <c r="K56" s="1" t="str">
        <v>Luis Palomino</v>
      </c>
      <c r="L56" s="1" t="str">
        <v>Urpi Pro</v>
      </c>
      <c r="M56" s="1" t="str">
        <v>2026-07-08</v>
      </c>
      <c r="N56" s="1" t="str">
        <v/>
      </c>
      <c r="O56" s="1" t="str">
        <v/>
      </c>
      <c r="P56" s="1" t="str">
        <v/>
      </c>
      <c r="Q56" s="1" t="str">
        <v>TBD</v>
      </c>
      <c r="R56" s="1" t="str">
        <f>IF(Q56="","","Q"&amp;ROUNDUP(MONTH(Q56)/3,0)&amp;"-"&amp;YEAR(Q56))</f>
        <v/>
      </c>
      <c r="S56" s="1" t="str">
        <v>Identificado</v>
      </c>
      <c r="T56" s="1" t="str">
        <v/>
      </c>
      <c r="U56" s="1" t="str">
        <v/>
      </c>
      <c r="V56" s="1" t="str">
        <v/>
      </c>
      <c r="W56" s="1" t="str">
        <v>Media</v>
      </c>
      <c r="X56" s="1" t="str">
        <v/>
      </c>
      <c r="Y56" s="1" t="str">
        <v/>
      </c>
      <c r="Z56" s="1" t="str">
        <v>2026-07-08</v>
      </c>
      <c r="AA56" s="1" t="str">
        <v/>
      </c>
      <c r="AB56" s="1" t="str">
        <v/>
      </c>
      <c r="AC56" s="1" t="str">
        <v>Desestimado</v>
      </c>
      <c r="AD56" s="1" t="str">
        <v/>
      </c>
      <c r="AE56" s="1" t="str">
        <v/>
      </c>
      <c r="AF56" s="1" t="str">
        <v/>
      </c>
      <c r="AG56" s="1" t="str">
        <v/>
      </c>
      <c r="AH56" s="1" t="str">
        <v/>
      </c>
      <c r="AI56" s="1" t="str">
        <v/>
      </c>
      <c r="AJ56" s="1" t="str">
        <v/>
      </c>
      <c r="AK56" s="1" t="str">
        <v/>
      </c>
      <c r="AL56" s="1" t="str">
        <v/>
      </c>
    </row>
    <row r="57">
      <c r="A57" s="1" t="str">
        <v>HIST-0056</v>
      </c>
      <c r="B57" s="1" t="str">
        <v>D0009</v>
      </c>
      <c r="C57" s="1" t="str">
        <v>Urpi Pro</v>
      </c>
      <c r="D57" s="1" t="str">
        <v/>
      </c>
      <c r="E57" s="1" t="str">
        <v>Modificación</v>
      </c>
      <c r="F57" s="1" t="str">
        <v/>
      </c>
      <c r="G57" s="1" t="str">
        <v>Maria Reyes</v>
      </c>
      <c r="H57" s="1" t="str">
        <v>Carlos Solano</v>
      </c>
      <c r="I57" s="1" t="str">
        <v/>
      </c>
      <c r="J57" s="1" t="str">
        <v>Edwin Suarez</v>
      </c>
      <c r="K57" s="1" t="str">
        <v>Luis Palomino</v>
      </c>
      <c r="L57" s="1" t="str">
        <v>Urpi Pro</v>
      </c>
      <c r="M57" s="1" t="str">
        <v>2026-07-08</v>
      </c>
      <c r="N57" s="1" t="str">
        <v/>
      </c>
      <c r="O57" s="1" t="str">
        <v/>
      </c>
      <c r="P57" s="1" t="str">
        <v/>
      </c>
      <c r="Q57" s="1" t="str">
        <v>TBD</v>
      </c>
      <c r="R57" s="1" t="str">
        <f>IF(Q57="","","Q"&amp;ROUNDUP(MONTH(Q57)/3,0)&amp;"-"&amp;YEAR(Q57))</f>
        <v/>
      </c>
      <c r="S57" s="1" t="str">
        <v>Identificado</v>
      </c>
      <c r="T57" s="1" t="str">
        <v/>
      </c>
      <c r="U57" s="1" t="str">
        <v/>
      </c>
      <c r="V57" s="1" t="str">
        <v/>
      </c>
      <c r="W57" s="1" t="str">
        <v>Media</v>
      </c>
      <c r="X57" s="1" t="str">
        <v/>
      </c>
      <c r="Y57" s="1" t="str">
        <v/>
      </c>
      <c r="Z57" s="1" t="str">
        <v>2026-07-07</v>
      </c>
      <c r="AA57" s="1" t="str">
        <v/>
      </c>
      <c r="AB57" s="1" t="str">
        <v/>
      </c>
      <c r="AC57" s="1" t="str">
        <v>Desestimado, Neobanco lo entregó en el Q1</v>
      </c>
      <c r="AD57" s="1" t="str">
        <v/>
      </c>
      <c r="AE57" s="1" t="str">
        <v/>
      </c>
      <c r="AF57" s="1" t="str">
        <v/>
      </c>
      <c r="AG57" s="1" t="str">
        <v>Finalizado</v>
      </c>
      <c r="AH57" s="1" t="str">
        <v>En proceso</v>
      </c>
      <c r="AI57" s="1" t="str">
        <v/>
      </c>
      <c r="AJ57" s="1" t="str">
        <v/>
      </c>
      <c r="AK57" s="1" t="str">
        <v/>
      </c>
      <c r="AL57" s="1" t="str">
        <v/>
      </c>
    </row>
    <row r="58">
      <c r="A58" s="1" t="str">
        <v>HIST-0057</v>
      </c>
      <c r="B58" s="1" t="str">
        <v>D0003</v>
      </c>
      <c r="C58" s="1" t="str">
        <v>Urpi Pro</v>
      </c>
      <c r="D58" s="1" t="str">
        <v/>
      </c>
      <c r="E58" s="1" t="str">
        <v>Reutilización</v>
      </c>
      <c r="F58" s="1" t="str">
        <v/>
      </c>
      <c r="G58" s="1" t="str">
        <v>Maria Reyes</v>
      </c>
      <c r="H58" s="1" t="str">
        <v>Carlos Solano</v>
      </c>
      <c r="I58" s="1" t="str">
        <v/>
      </c>
      <c r="J58" s="1" t="str">
        <v>Edwin Suarez</v>
      </c>
      <c r="K58" s="1" t="str">
        <v>Luis Palomino</v>
      </c>
      <c r="L58" s="1" t="str">
        <v>Urpi Pro</v>
      </c>
      <c r="M58" s="1" t="str">
        <v>2026-07-08</v>
      </c>
      <c r="N58" s="1" t="str">
        <v/>
      </c>
      <c r="O58" s="1" t="str">
        <v/>
      </c>
      <c r="P58" s="1" t="str">
        <v/>
      </c>
      <c r="Q58" s="1" t="str">
        <v>TBD</v>
      </c>
      <c r="R58" s="1" t="str">
        <f>IF(Q58="","","Q"&amp;ROUNDUP(MONTH(Q58)/3,0)&amp;"-"&amp;YEAR(Q58))</f>
        <v/>
      </c>
      <c r="S58" s="1" t="str">
        <v>Diseño</v>
      </c>
      <c r="T58" s="1" t="str">
        <v/>
      </c>
      <c r="U58" s="1" t="str">
        <v/>
      </c>
      <c r="V58" s="1" t="str">
        <v/>
      </c>
      <c r="W58" s="1" t="str">
        <v>Media</v>
      </c>
      <c r="X58" s="1" t="str">
        <v/>
      </c>
      <c r="Y58" s="1" t="str">
        <v/>
      </c>
      <c r="Z58" s="1" t="str">
        <v>2026-07-07</v>
      </c>
      <c r="AA58" s="1" t="str">
        <v/>
      </c>
      <c r="AB58" s="1" t="str">
        <v/>
      </c>
      <c r="AC58" s="1" t="str">
        <v>Neobanco lo entrego en el Q1</v>
      </c>
      <c r="AD58" s="1" t="str">
        <v/>
      </c>
      <c r="AE58" s="1" t="str">
        <v/>
      </c>
      <c r="AF58" s="1" t="str">
        <v/>
      </c>
      <c r="AG58" s="1" t="str">
        <v>Finalizado</v>
      </c>
      <c r="AH58" s="1" t="str">
        <v>Finalizado</v>
      </c>
      <c r="AI58" s="1" t="str">
        <v/>
      </c>
      <c r="AJ58" s="1" t="str">
        <v/>
      </c>
      <c r="AK58" s="1" t="str">
        <v/>
      </c>
      <c r="AL58" s="1" t="str">
        <v/>
      </c>
    </row>
    <row r="59">
      <c r="A59" s="1" t="str">
        <v>HIST-0058</v>
      </c>
      <c r="B59" s="1" t="str">
        <v>D0039</v>
      </c>
      <c r="C59" s="1" t="str">
        <v>Urpi Pro</v>
      </c>
      <c r="D59" s="1" t="str">
        <v/>
      </c>
      <c r="E59" s="1" t="str">
        <v>Modificación</v>
      </c>
      <c r="F59" s="1" t="str">
        <v/>
      </c>
      <c r="G59" s="1" t="str">
        <v>Maria Reyes</v>
      </c>
      <c r="H59" s="1" t="str">
        <v>Carlos Solano</v>
      </c>
      <c r="I59" s="1" t="str">
        <v/>
      </c>
      <c r="J59" s="1" t="str">
        <v>Edwin Suarez</v>
      </c>
      <c r="K59" s="1" t="str">
        <v>Luis Palomino</v>
      </c>
      <c r="L59" s="1" t="str">
        <v>Urpi Pro</v>
      </c>
      <c r="M59" s="1" t="str">
        <v>2026-07-08</v>
      </c>
      <c r="N59" s="1" t="str">
        <v/>
      </c>
      <c r="O59" s="1" t="str">
        <v/>
      </c>
      <c r="P59" s="1" t="str">
        <v/>
      </c>
      <c r="Q59" s="1" t="str">
        <v>2026-04-30</v>
      </c>
      <c r="R59" s="1" t="str">
        <f>IF(Q59="","","Q"&amp;ROUNDUP(MONTH(Q59)/3,0)&amp;"-"&amp;YEAR(Q59))</f>
        <v>Q2-2026</v>
      </c>
      <c r="S59" s="1" t="str">
        <v>Producción</v>
      </c>
      <c r="T59" s="1" t="str">
        <v/>
      </c>
      <c r="U59" s="1" t="str">
        <v/>
      </c>
      <c r="V59" s="1" t="str">
        <v/>
      </c>
      <c r="W59" s="1" t="str">
        <v>Media</v>
      </c>
      <c r="X59" s="1" t="str">
        <v/>
      </c>
      <c r="Y59" s="1" t="str">
        <v/>
      </c>
      <c r="Z59" s="1" t="str">
        <v>2026-07-08</v>
      </c>
      <c r="AA59" s="1" t="str">
        <v/>
      </c>
      <c r="AB59" s="1" t="str">
        <v/>
      </c>
      <c r="AC59" s="1" t="str">
        <v>Neobanco lo entrego en el Q1, Urpi Pro en Q2</v>
      </c>
      <c r="AD59" s="1" t="str">
        <v/>
      </c>
      <c r="AE59" s="1" t="str">
        <v/>
      </c>
      <c r="AF59" s="1" t="str">
        <v/>
      </c>
      <c r="AG59" s="1" t="str">
        <v/>
      </c>
      <c r="AH59" s="1" t="str">
        <v/>
      </c>
      <c r="AI59" s="1" t="str">
        <v/>
      </c>
      <c r="AJ59" s="1" t="str">
        <v/>
      </c>
      <c r="AK59" s="1" t="str">
        <v/>
      </c>
      <c r="AL59" s="1" t="str">
        <v/>
      </c>
    </row>
    <row r="60">
      <c r="A60" s="1" t="str">
        <v>HIST-0059</v>
      </c>
      <c r="B60" s="1" t="str">
        <v>D0007</v>
      </c>
      <c r="C60" s="1" t="str">
        <v>Urpi Pro</v>
      </c>
      <c r="D60" s="1" t="str">
        <v/>
      </c>
      <c r="E60" s="1" t="str">
        <v>Reutilización</v>
      </c>
      <c r="F60" s="1" t="str">
        <v/>
      </c>
      <c r="G60" s="1" t="str">
        <v>Maria Reyes</v>
      </c>
      <c r="H60" s="1" t="str">
        <v>Carlos Solano</v>
      </c>
      <c r="I60" s="1" t="str">
        <v/>
      </c>
      <c r="J60" s="1" t="str">
        <v>Edwin Suarez</v>
      </c>
      <c r="K60" s="1" t="str">
        <v>Luis Palomino</v>
      </c>
      <c r="L60" s="1" t="str">
        <v>Urpi Pro</v>
      </c>
      <c r="M60" s="1" t="str">
        <v>2026-07-08</v>
      </c>
      <c r="N60" s="1" t="str">
        <v/>
      </c>
      <c r="O60" s="1" t="str">
        <v/>
      </c>
      <c r="P60" s="1" t="str">
        <v/>
      </c>
      <c r="Q60" s="1" t="str">
        <v>TBD</v>
      </c>
      <c r="R60" s="1" t="str">
        <f>IF(Q60="","","Q"&amp;ROUNDUP(MONTH(Q60)/3,0)&amp;"-"&amp;YEAR(Q60))</f>
        <v/>
      </c>
      <c r="S60" s="1" t="str">
        <v>Diseño</v>
      </c>
      <c r="T60" s="1" t="str">
        <v/>
      </c>
      <c r="U60" s="1" t="str">
        <v/>
      </c>
      <c r="V60" s="1" t="str">
        <v/>
      </c>
      <c r="W60" s="1" t="str">
        <v>Media</v>
      </c>
      <c r="X60" s="1" t="str">
        <v/>
      </c>
      <c r="Y60" s="1" t="str">
        <v/>
      </c>
      <c r="Z60" s="1" t="str">
        <v>2026-07-07</v>
      </c>
      <c r="AA60" s="1" t="str">
        <v/>
      </c>
      <c r="AB60" s="1" t="str">
        <v/>
      </c>
      <c r="AC60" s="1" t="str">
        <v>Neobanco lo entrego en el Q1, Riesgos tambien lo esta viendo, Urpi Pro resutilizará</v>
      </c>
      <c r="AD60" s="1" t="str">
        <v/>
      </c>
      <c r="AE60" s="1" t="str">
        <v/>
      </c>
      <c r="AF60" s="1" t="str">
        <v/>
      </c>
      <c r="AG60" s="1" t="str">
        <v>En proceso</v>
      </c>
      <c r="AH60" s="1" t="str">
        <v/>
      </c>
      <c r="AI60" s="1" t="str">
        <v/>
      </c>
      <c r="AJ60" s="1" t="str">
        <v/>
      </c>
      <c r="AK60" s="1" t="str">
        <v/>
      </c>
      <c r="AL60" s="1" t="str">
        <v/>
      </c>
    </row>
    <row r="61">
      <c r="A61" s="1" t="str">
        <v>HIST-0060</v>
      </c>
      <c r="B61" s="1" t="str">
        <v>D0040</v>
      </c>
      <c r="C61" s="1" t="str">
        <v>Urpi Pro</v>
      </c>
      <c r="D61" s="1" t="str">
        <v/>
      </c>
      <c r="E61" s="1" t="str">
        <v/>
      </c>
      <c r="F61" s="1" t="str">
        <v/>
      </c>
      <c r="G61" s="1" t="str">
        <v>Maria Reyes</v>
      </c>
      <c r="H61" s="1" t="str">
        <v>Carlos Solano</v>
      </c>
      <c r="I61" s="1" t="str">
        <v/>
      </c>
      <c r="J61" s="1" t="str">
        <v>Edwin Suarez</v>
      </c>
      <c r="K61" s="1" t="str">
        <v>Luis Palomino</v>
      </c>
      <c r="L61" s="1" t="str">
        <v>Urpi Pro</v>
      </c>
      <c r="M61" s="1" t="str">
        <v>2026-07-08</v>
      </c>
      <c r="N61" s="1" t="str">
        <v/>
      </c>
      <c r="O61" s="1" t="str">
        <v/>
      </c>
      <c r="P61" s="1" t="str">
        <v/>
      </c>
      <c r="Q61" s="1" t="str">
        <v>TBD</v>
      </c>
      <c r="R61" s="1" t="str">
        <f>IF(Q61="","","Q"&amp;ROUNDUP(MONTH(Q61)/3,0)&amp;"-"&amp;YEAR(Q61))</f>
        <v/>
      </c>
      <c r="S61" s="1" t="str">
        <v>Identificado</v>
      </c>
      <c r="T61" s="1" t="str">
        <v/>
      </c>
      <c r="U61" s="1" t="str">
        <v/>
      </c>
      <c r="V61" s="1" t="str">
        <v/>
      </c>
      <c r="W61" s="1" t="str">
        <v>Media</v>
      </c>
      <c r="X61" s="1" t="str">
        <v/>
      </c>
      <c r="Y61" s="1" t="str">
        <v/>
      </c>
      <c r="Z61" s="1" t="str">
        <v>2026-07-08</v>
      </c>
      <c r="AA61" s="1" t="str">
        <v/>
      </c>
      <c r="AB61" s="1" t="str">
        <v/>
      </c>
      <c r="AC61" s="1" t="str">
        <v>Desestimado</v>
      </c>
      <c r="AD61" s="1" t="str">
        <v/>
      </c>
      <c r="AE61" s="1" t="str">
        <v/>
      </c>
      <c r="AF61" s="1" t="str">
        <v/>
      </c>
      <c r="AG61" s="1" t="str">
        <v/>
      </c>
      <c r="AH61" s="1" t="str">
        <v/>
      </c>
      <c r="AI61" s="1" t="str">
        <v/>
      </c>
      <c r="AJ61" s="1" t="str">
        <v/>
      </c>
      <c r="AK61" s="1" t="str">
        <v/>
      </c>
      <c r="AL61" s="1" t="str">
        <v/>
      </c>
    </row>
    <row r="62">
      <c r="A62" s="1" t="str">
        <v>HIST-0061</v>
      </c>
      <c r="B62" s="1" t="str">
        <v>D0041</v>
      </c>
      <c r="C62" s="1" t="str">
        <v>Urpi Pro</v>
      </c>
      <c r="D62" s="1" t="str">
        <v/>
      </c>
      <c r="E62" s="1" t="str">
        <v/>
      </c>
      <c r="F62" s="1" t="str">
        <v/>
      </c>
      <c r="G62" s="1" t="str">
        <v>Maria Reyes</v>
      </c>
      <c r="H62" s="1" t="str">
        <v>Carlos Solano</v>
      </c>
      <c r="I62" s="1" t="str">
        <v/>
      </c>
      <c r="J62" s="1" t="str">
        <v>Edwin Suarez</v>
      </c>
      <c r="K62" s="1" t="str">
        <v>Luis Palomino</v>
      </c>
      <c r="L62" s="1" t="str">
        <v>Urpi Pro</v>
      </c>
      <c r="M62" s="1" t="str">
        <v>2026-07-08</v>
      </c>
      <c r="N62" s="1" t="str">
        <v/>
      </c>
      <c r="O62" s="1" t="str">
        <v/>
      </c>
      <c r="P62" s="1" t="str">
        <v/>
      </c>
      <c r="Q62" s="1" t="str">
        <v>TBD</v>
      </c>
      <c r="R62" s="1" t="str">
        <f>IF(Q62="","","Q"&amp;ROUNDUP(MONTH(Q62)/3,0)&amp;"-"&amp;YEAR(Q62))</f>
        <v/>
      </c>
      <c r="S62" s="1" t="str">
        <v>Identificado</v>
      </c>
      <c r="T62" s="1" t="str">
        <v/>
      </c>
      <c r="U62" s="1" t="str">
        <v/>
      </c>
      <c r="V62" s="1" t="str">
        <v/>
      </c>
      <c r="W62" s="1" t="str">
        <v/>
      </c>
      <c r="X62" s="1" t="str">
        <v/>
      </c>
      <c r="Y62" s="1" t="str">
        <v/>
      </c>
      <c r="Z62" s="1" t="str">
        <v/>
      </c>
      <c r="AA62" s="1" t="str">
        <v/>
      </c>
      <c r="AB62" s="1" t="str">
        <v/>
      </c>
      <c r="AC62" s="1" t="str">
        <v>Desestimado</v>
      </c>
      <c r="AD62" s="1" t="str">
        <v/>
      </c>
      <c r="AE62" s="1" t="str">
        <v/>
      </c>
      <c r="AF62" s="1" t="str">
        <v/>
      </c>
      <c r="AG62" s="1" t="str">
        <v/>
      </c>
      <c r="AH62" s="1" t="str">
        <v/>
      </c>
      <c r="AI62" s="1" t="str">
        <v/>
      </c>
      <c r="AJ62" s="1" t="str">
        <v/>
      </c>
      <c r="AK62" s="1" t="str">
        <v/>
      </c>
      <c r="AL62" s="1" t="str">
        <v/>
      </c>
    </row>
    <row r="63">
      <c r="A63" s="1" t="str">
        <v>HIST-0062</v>
      </c>
      <c r="B63" s="1" t="str">
        <v>D0042</v>
      </c>
      <c r="C63" s="1" t="str">
        <v>Urpi Pro</v>
      </c>
      <c r="D63" s="1" t="str">
        <v/>
      </c>
      <c r="E63" s="1" t="str">
        <v/>
      </c>
      <c r="F63" s="1" t="str">
        <v/>
      </c>
      <c r="G63" s="1" t="str">
        <v>Maria Reyes</v>
      </c>
      <c r="H63" s="1" t="str">
        <v>Carlos Solano</v>
      </c>
      <c r="I63" s="1" t="str">
        <v/>
      </c>
      <c r="J63" s="1" t="str">
        <v>Edwin Suarez</v>
      </c>
      <c r="K63" s="1" t="str">
        <v>Luis Palomino</v>
      </c>
      <c r="L63" s="1" t="str">
        <v>Urpi Pro</v>
      </c>
      <c r="M63" s="1" t="str">
        <v>2026-07-08</v>
      </c>
      <c r="N63" s="1" t="str">
        <v/>
      </c>
      <c r="O63" s="1" t="str">
        <v/>
      </c>
      <c r="P63" s="1" t="str">
        <v/>
      </c>
      <c r="Q63" s="1" t="str">
        <v>TBD</v>
      </c>
      <c r="R63" s="1" t="str">
        <f>IF(Q63="","","Q"&amp;ROUNDUP(MONTH(Q63)/3,0)&amp;"-"&amp;YEAR(Q63))</f>
        <v/>
      </c>
      <c r="S63" s="1" t="str">
        <v>Identificado</v>
      </c>
      <c r="T63" s="1" t="str">
        <v/>
      </c>
      <c r="U63" s="1" t="str">
        <v/>
      </c>
      <c r="V63" s="1" t="str">
        <v/>
      </c>
      <c r="W63" s="1" t="str">
        <v/>
      </c>
      <c r="X63" s="1" t="str">
        <v/>
      </c>
      <c r="Y63" s="1" t="str">
        <v/>
      </c>
      <c r="Z63" s="1" t="str">
        <v/>
      </c>
      <c r="AA63" s="1" t="str">
        <v/>
      </c>
      <c r="AB63" s="1" t="str">
        <v/>
      </c>
      <c r="AC63" s="1" t="str">
        <v>Desestimado</v>
      </c>
      <c r="AD63" s="1" t="str">
        <v/>
      </c>
      <c r="AE63" s="1" t="str">
        <v/>
      </c>
      <c r="AF63" s="1" t="str">
        <v/>
      </c>
      <c r="AG63" s="1" t="str">
        <v/>
      </c>
      <c r="AH63" s="1" t="str">
        <v/>
      </c>
      <c r="AI63" s="1" t="str">
        <v/>
      </c>
      <c r="AJ63" s="1" t="str">
        <v/>
      </c>
      <c r="AK63" s="1" t="str">
        <v/>
      </c>
      <c r="AL63" s="1" t="str">
        <v/>
      </c>
    </row>
    <row r="64">
      <c r="A64" s="1" t="str">
        <v>HIST-0063</v>
      </c>
      <c r="B64" s="1" t="str">
        <v>D0006</v>
      </c>
      <c r="C64" s="1" t="str">
        <v>Urpi Pro</v>
      </c>
      <c r="D64" s="1" t="str">
        <v/>
      </c>
      <c r="E64" s="1" t="str">
        <v/>
      </c>
      <c r="F64" s="1" t="str">
        <v/>
      </c>
      <c r="G64" s="1" t="str">
        <v>Maria Reyes</v>
      </c>
      <c r="H64" s="1" t="str">
        <v>Carlos Solano</v>
      </c>
      <c r="I64" s="1" t="str">
        <v/>
      </c>
      <c r="J64" s="1" t="str">
        <v>Edwin Suarez</v>
      </c>
      <c r="K64" s="1" t="str">
        <v>Luis Palomino</v>
      </c>
      <c r="L64" s="1" t="str">
        <v>Urpi Pro</v>
      </c>
      <c r="M64" s="1" t="str">
        <v>2026-07-08</v>
      </c>
      <c r="N64" s="1" t="str">
        <v/>
      </c>
      <c r="O64" s="1" t="str">
        <v/>
      </c>
      <c r="P64" s="1" t="str">
        <v/>
      </c>
      <c r="Q64" s="1" t="str">
        <v>TBD</v>
      </c>
      <c r="R64" s="1" t="str">
        <f>IF(Q64="","","Q"&amp;ROUNDUP(MONTH(Q64)/3,0)&amp;"-"&amp;YEAR(Q64))</f>
        <v/>
      </c>
      <c r="S64" s="1" t="str">
        <v>Identificado</v>
      </c>
      <c r="T64" s="1" t="str">
        <v/>
      </c>
      <c r="U64" s="1" t="str">
        <v/>
      </c>
      <c r="V64" s="1" t="str">
        <v/>
      </c>
      <c r="W64" s="1" t="str">
        <v>Media</v>
      </c>
      <c r="X64" s="1" t="str">
        <v/>
      </c>
      <c r="Y64" s="1" t="str">
        <v/>
      </c>
      <c r="Z64" s="1" t="str">
        <v>2026-07-07</v>
      </c>
      <c r="AA64" s="1" t="str">
        <v/>
      </c>
      <c r="AB64" s="1" t="str">
        <v/>
      </c>
      <c r="AC64" s="1" t="str">
        <v>Desestimado</v>
      </c>
      <c r="AD64" s="1" t="str">
        <v/>
      </c>
      <c r="AE64" s="1" t="str">
        <v/>
      </c>
      <c r="AF64" s="1" t="str">
        <v/>
      </c>
      <c r="AG64" s="1" t="str">
        <v>Finalizado</v>
      </c>
      <c r="AH64" s="1" t="str">
        <v>Finalizado</v>
      </c>
      <c r="AI64" s="1" t="str">
        <v/>
      </c>
      <c r="AJ64" s="1" t="str">
        <v/>
      </c>
      <c r="AK64" s="1" t="str">
        <v/>
      </c>
      <c r="AL64" s="1" t="str">
        <v/>
      </c>
    </row>
    <row r="65">
      <c r="A65" s="1" t="str">
        <v>HIST-0064</v>
      </c>
      <c r="B65" s="1" t="str">
        <v>D0007</v>
      </c>
      <c r="C65" s="1" t="str">
        <v>Urpi Pro</v>
      </c>
      <c r="D65" s="1" t="str">
        <v/>
      </c>
      <c r="E65" s="1" t="str">
        <v>Reutilización</v>
      </c>
      <c r="F65" s="1" t="str">
        <v/>
      </c>
      <c r="G65" s="1" t="str">
        <v>Maria Reyes</v>
      </c>
      <c r="H65" s="1" t="str">
        <v>Carlos Solano</v>
      </c>
      <c r="I65" s="1" t="str">
        <v/>
      </c>
      <c r="J65" s="1" t="str">
        <v>Edwin Suarez</v>
      </c>
      <c r="K65" s="1" t="str">
        <v>Luis Palomino</v>
      </c>
      <c r="L65" s="1" t="str">
        <v>Urpi Pro</v>
      </c>
      <c r="M65" s="1" t="str">
        <v>2026-07-08</v>
      </c>
      <c r="N65" s="1" t="str">
        <v/>
      </c>
      <c r="O65" s="1" t="str">
        <v/>
      </c>
      <c r="P65" s="1" t="str">
        <v/>
      </c>
      <c r="Q65" s="1" t="str">
        <v>TBD</v>
      </c>
      <c r="R65" s="1" t="str">
        <f>IF(Q65="","","Q"&amp;ROUNDUP(MONTH(Q65)/3,0)&amp;"-"&amp;YEAR(Q65))</f>
        <v/>
      </c>
      <c r="S65" s="1" t="str">
        <v>Identificado</v>
      </c>
      <c r="T65" s="1" t="str">
        <v/>
      </c>
      <c r="U65" s="1" t="str">
        <v/>
      </c>
      <c r="V65" s="1" t="str">
        <v/>
      </c>
      <c r="W65" s="1" t="str">
        <v>Media</v>
      </c>
      <c r="X65" s="1" t="str">
        <v/>
      </c>
      <c r="Y65" s="1" t="str">
        <v/>
      </c>
      <c r="Z65" s="1" t="str">
        <v>2026-07-07</v>
      </c>
      <c r="AA65" s="1" t="str">
        <v/>
      </c>
      <c r="AB65" s="1" t="str">
        <v/>
      </c>
      <c r="AC65" s="1" t="str">
        <v>Neobanco lo entrego en el Q1, Riesgos tambien lo esta viendo, Urpi Pro resutilizará</v>
      </c>
      <c r="AD65" s="1" t="str">
        <v/>
      </c>
      <c r="AE65" s="1" t="str">
        <v/>
      </c>
      <c r="AF65" s="1" t="str">
        <v/>
      </c>
      <c r="AG65" s="1" t="str">
        <v>En proceso</v>
      </c>
      <c r="AH65" s="1" t="str">
        <v/>
      </c>
      <c r="AI65" s="1" t="str">
        <v/>
      </c>
      <c r="AJ65" s="1" t="str">
        <v/>
      </c>
      <c r="AK65" s="1" t="str">
        <v/>
      </c>
      <c r="AL65" s="1" t="str">
        <v/>
      </c>
    </row>
    <row r="66">
      <c r="A66" s="1" t="str">
        <v>HIST-0065</v>
      </c>
      <c r="B66" s="1" t="str">
        <v>D0043</v>
      </c>
      <c r="C66" s="1" t="str">
        <v>Urpi Pro</v>
      </c>
      <c r="D66" s="1" t="str">
        <v/>
      </c>
      <c r="E66" s="1" t="str">
        <v/>
      </c>
      <c r="F66" s="1" t="str">
        <v/>
      </c>
      <c r="G66" s="1" t="str">
        <v>Maria Reyes</v>
      </c>
      <c r="H66" s="1" t="str">
        <v>Carlos Solano</v>
      </c>
      <c r="I66" s="1" t="str">
        <v/>
      </c>
      <c r="J66" s="1" t="str">
        <v>Edwin Suarez</v>
      </c>
      <c r="K66" s="1" t="str">
        <v>Luis Palomino</v>
      </c>
      <c r="L66" s="1" t="str">
        <v>Urpi Pro</v>
      </c>
      <c r="M66" s="1" t="str">
        <v>2026-07-08</v>
      </c>
      <c r="N66" s="1" t="str">
        <v/>
      </c>
      <c r="O66" s="1" t="str">
        <v/>
      </c>
      <c r="P66" s="1" t="str">
        <v/>
      </c>
      <c r="Q66" s="1" t="str">
        <v>TBD</v>
      </c>
      <c r="R66" s="1" t="str">
        <f>IF(Q66="","","Q"&amp;ROUNDUP(MONTH(Q66)/3,0)&amp;"-"&amp;YEAR(Q66))</f>
        <v/>
      </c>
      <c r="S66" s="1" t="str">
        <v>Identificado</v>
      </c>
      <c r="T66" s="1" t="str">
        <v/>
      </c>
      <c r="U66" s="1" t="str">
        <v/>
      </c>
      <c r="V66" s="1" t="str">
        <v/>
      </c>
      <c r="W66" s="1" t="str">
        <v/>
      </c>
      <c r="X66" s="1" t="str">
        <v/>
      </c>
      <c r="Y66" s="1" t="str">
        <v/>
      </c>
      <c r="Z66" s="1" t="str">
        <v/>
      </c>
      <c r="AA66" s="1" t="str">
        <v/>
      </c>
      <c r="AB66" s="1" t="str">
        <v/>
      </c>
      <c r="AC66" s="1" t="str">
        <v>Desestimado</v>
      </c>
      <c r="AD66" s="1" t="str">
        <v/>
      </c>
      <c r="AE66" s="1" t="str">
        <v/>
      </c>
      <c r="AF66" s="1" t="str">
        <v/>
      </c>
      <c r="AG66" s="1" t="str">
        <v/>
      </c>
      <c r="AH66" s="1" t="str">
        <v/>
      </c>
      <c r="AI66" s="1" t="str">
        <v/>
      </c>
      <c r="AJ66" s="1" t="str">
        <v/>
      </c>
      <c r="AK66" s="1" t="str">
        <v/>
      </c>
      <c r="AL66" s="1" t="str">
        <v/>
      </c>
    </row>
    <row r="67">
      <c r="A67" s="1" t="str">
        <v>HIST-0066</v>
      </c>
      <c r="B67" s="1" t="str">
        <v>D0044</v>
      </c>
      <c r="C67" s="1" t="str">
        <v>Neobanco</v>
      </c>
      <c r="D67" s="1" t="str">
        <v/>
      </c>
      <c r="E67" s="1" t="str">
        <v>Creación</v>
      </c>
      <c r="F67" s="1" t="str">
        <v>OP-0031, OP-0032, OP-0033</v>
      </c>
      <c r="G67" s="1" t="str">
        <v>Ricardo Garmendia</v>
      </c>
      <c r="H67" s="1" t="str">
        <v>Jose Seminario</v>
      </c>
      <c r="I67" s="1" t="str">
        <v>Alex Guerrero</v>
      </c>
      <c r="J67" s="1" t="str">
        <v>Cesar Lama</v>
      </c>
      <c r="K67" s="1" t="str">
        <v>Telly Tataje</v>
      </c>
      <c r="L67" s="1" t="str">
        <v>Neobanco</v>
      </c>
      <c r="M67" s="1" t="str">
        <v>2026-06-30</v>
      </c>
      <c r="N67" s="1" t="str">
        <v/>
      </c>
      <c r="O67" s="1" t="str">
        <v/>
      </c>
      <c r="P67" s="1" t="str">
        <v/>
      </c>
      <c r="Q67" s="1" t="str">
        <v>2026-03-31</v>
      </c>
      <c r="R67" s="1" t="str">
        <f>IF(Q67="","","Q"&amp;ROUNDUP(MONTH(Q67)/3,0)&amp;"-"&amp;YEAR(Q67))</f>
        <v>Q1-2026</v>
      </c>
      <c r="S67" s="1" t="str">
        <v>Producción</v>
      </c>
      <c r="T67" s="1" t="str">
        <v/>
      </c>
      <c r="U67" s="1" t="str">
        <v/>
      </c>
      <c r="V67" s="1" t="str">
        <v/>
      </c>
      <c r="W67" s="1" t="str">
        <v/>
      </c>
      <c r="X67" s="1" t="str">
        <v/>
      </c>
      <c r="Y67" s="1" t="str">
        <v/>
      </c>
      <c r="Z67" s="1" t="str">
        <v/>
      </c>
      <c r="AA67" s="1" t="str">
        <v/>
      </c>
      <c r="AB67" s="1" t="str">
        <v/>
      </c>
      <c r="AC67" s="1" t="str">
        <v>Pasó a produccion en Q1</v>
      </c>
      <c r="AD67" s="1" t="str">
        <v/>
      </c>
      <c r="AE67" s="1" t="str">
        <v/>
      </c>
      <c r="AF67" s="1" t="str">
        <v/>
      </c>
      <c r="AG67" s="1" t="str">
        <v/>
      </c>
      <c r="AH67" s="1" t="str">
        <v/>
      </c>
      <c r="AI67" s="1" t="str">
        <v/>
      </c>
      <c r="AJ67" s="1" t="str">
        <v/>
      </c>
      <c r="AK67" s="1" t="str">
        <v/>
      </c>
      <c r="AL67" s="1" t="str">
        <v/>
      </c>
    </row>
    <row r="68">
      <c r="A68" s="1" t="str">
        <v>HIST-0067</v>
      </c>
      <c r="B68" s="1" t="str">
        <v>D0045</v>
      </c>
      <c r="C68" s="1" t="str">
        <v>Neobanco</v>
      </c>
      <c r="D68" s="1" t="str">
        <v/>
      </c>
      <c r="E68" s="1" t="str">
        <v>Creación</v>
      </c>
      <c r="F68" s="1" t="str">
        <v/>
      </c>
      <c r="G68" s="1" t="str">
        <v>Ricardo Garmendia</v>
      </c>
      <c r="H68" s="1" t="str">
        <v>Jose Seminario</v>
      </c>
      <c r="I68" s="1" t="str">
        <v>Alex Guerrero</v>
      </c>
      <c r="J68" s="1" t="str">
        <v>Cesar Lama</v>
      </c>
      <c r="K68" s="1" t="str">
        <v>Telly Tataje</v>
      </c>
      <c r="L68" s="1" t="str">
        <v/>
      </c>
      <c r="M68" s="1" t="str">
        <v>2026-06-30</v>
      </c>
      <c r="N68" s="1" t="str">
        <v/>
      </c>
      <c r="O68" s="1" t="str">
        <v/>
      </c>
      <c r="P68" s="1" t="str">
        <v/>
      </c>
      <c r="Q68" s="1" t="str">
        <v>2026-03-31</v>
      </c>
      <c r="R68" s="1" t="str">
        <f>IF(Q68="","","Q"&amp;ROUNDUP(MONTH(Q68)/3,0)&amp;"-"&amp;YEAR(Q68))</f>
        <v>Q1-2026</v>
      </c>
      <c r="S68" s="1" t="str">
        <v>Producción</v>
      </c>
      <c r="T68" s="1" t="str">
        <v/>
      </c>
      <c r="U68" s="1" t="str">
        <v/>
      </c>
      <c r="V68" s="1" t="str">
        <v/>
      </c>
      <c r="W68" s="1" t="str">
        <v/>
      </c>
      <c r="X68" s="1" t="str">
        <v/>
      </c>
      <c r="Y68" s="1" t="str">
        <v/>
      </c>
      <c r="Z68" s="1" t="str">
        <v/>
      </c>
      <c r="AA68" s="1" t="str">
        <v/>
      </c>
      <c r="AB68" s="1" t="str">
        <v/>
      </c>
      <c r="AC68" s="1" t="str">
        <v>API PROC en producción entregado en Q1</v>
      </c>
      <c r="AD68" s="1" t="str">
        <v/>
      </c>
      <c r="AE68" s="1" t="str">
        <v/>
      </c>
      <c r="AF68" s="1" t="str">
        <v/>
      </c>
      <c r="AG68" s="1" t="str">
        <v/>
      </c>
      <c r="AH68" s="1" t="str">
        <v/>
      </c>
      <c r="AI68" s="1" t="str">
        <v/>
      </c>
      <c r="AJ68" s="1" t="str">
        <v/>
      </c>
      <c r="AK68" s="1" t="str">
        <v/>
      </c>
      <c r="AL68" s="1" t="str">
        <v/>
      </c>
    </row>
    <row r="69">
      <c r="A69" s="1" t="str">
        <v>HIST-0068</v>
      </c>
      <c r="B69" s="1" t="str">
        <v>D0012</v>
      </c>
      <c r="C69" s="1" t="str">
        <v>Neobanco</v>
      </c>
      <c r="D69" s="1" t="str">
        <v/>
      </c>
      <c r="E69" s="1" t="str">
        <v>Creación</v>
      </c>
      <c r="F69" s="1" t="str">
        <v>OP-0034</v>
      </c>
      <c r="G69" s="1" t="str">
        <v>Ricardo Garmendia</v>
      </c>
      <c r="H69" s="1" t="str">
        <v>Jose Seminario</v>
      </c>
      <c r="I69" s="1" t="str">
        <v>Alex Guerrero</v>
      </c>
      <c r="J69" s="1" t="str">
        <v>Cesar Lama</v>
      </c>
      <c r="K69" s="1" t="str">
        <v>Telly Tataje</v>
      </c>
      <c r="L69" s="1" t="str">
        <v>Neobanco</v>
      </c>
      <c r="M69" s="1" t="str">
        <v>2026-06-30</v>
      </c>
      <c r="N69" s="1" t="str">
        <v/>
      </c>
      <c r="O69" s="1" t="str">
        <v/>
      </c>
      <c r="P69" s="1" t="str">
        <v/>
      </c>
      <c r="Q69" s="1" t="str">
        <v>2026-03-31</v>
      </c>
      <c r="R69" s="1" t="str">
        <f>IF(Q69="","","Q"&amp;ROUNDUP(MONTH(Q69)/3,0)&amp;"-"&amp;YEAR(Q69))</f>
        <v>Q1-2026</v>
      </c>
      <c r="S69" s="1" t="str">
        <v>Producción</v>
      </c>
      <c r="T69" s="1" t="str">
        <v/>
      </c>
      <c r="U69" s="1" t="str">
        <v/>
      </c>
      <c r="V69" s="1" t="str">
        <v/>
      </c>
      <c r="W69" s="1" t="str">
        <v>Media</v>
      </c>
      <c r="X69" s="1" t="str">
        <v/>
      </c>
      <c r="Y69" s="1" t="str">
        <v/>
      </c>
      <c r="Z69" s="1" t="str">
        <v>2026-07-07</v>
      </c>
      <c r="AA69" s="1" t="str">
        <v/>
      </c>
      <c r="AB69" s="1" t="str">
        <v/>
      </c>
      <c r="AC69" s="1" t="str">
        <v>Pasó a produccion en Q1</v>
      </c>
      <c r="AD69" s="1" t="str">
        <v/>
      </c>
      <c r="AE69" s="1" t="str">
        <v/>
      </c>
      <c r="AF69" s="1" t="str">
        <v/>
      </c>
      <c r="AG69" s="1" t="str">
        <v>Finalizado</v>
      </c>
      <c r="AH69" s="1" t="str">
        <v>En proceso</v>
      </c>
      <c r="AI69" s="1" t="str">
        <v/>
      </c>
      <c r="AJ69" s="1" t="str">
        <v/>
      </c>
      <c r="AK69" s="1" t="str">
        <v/>
      </c>
      <c r="AL69" s="1" t="str">
        <v/>
      </c>
    </row>
    <row r="70">
      <c r="A70" s="1" t="str">
        <v>HIST-0069</v>
      </c>
      <c r="B70" s="1" t="str">
        <v>D0046</v>
      </c>
      <c r="C70" s="1" t="str">
        <v>Neobanco</v>
      </c>
      <c r="D70" s="1" t="str">
        <v/>
      </c>
      <c r="E70" s="1" t="str">
        <v>Creación</v>
      </c>
      <c r="F70" s="1" t="str">
        <v/>
      </c>
      <c r="G70" s="1" t="str">
        <v>Ricardo Garmendia</v>
      </c>
      <c r="H70" s="1" t="str">
        <v>Jose Seminario</v>
      </c>
      <c r="I70" s="1" t="str">
        <v>Alex Guerrero</v>
      </c>
      <c r="J70" s="1" t="str">
        <v>Cesar Lama</v>
      </c>
      <c r="K70" s="1" t="str">
        <v>Telly Tataje</v>
      </c>
      <c r="L70" s="1" t="str">
        <v/>
      </c>
      <c r="M70" s="1" t="str">
        <v>2026-06-30</v>
      </c>
      <c r="N70" s="1" t="str">
        <v/>
      </c>
      <c r="O70" s="1" t="str">
        <v/>
      </c>
      <c r="P70" s="1" t="str">
        <v/>
      </c>
      <c r="Q70" s="1" t="str">
        <v>2026-03-31</v>
      </c>
      <c r="R70" s="1" t="str">
        <f>IF(Q70="","","Q"&amp;ROUNDUP(MONTH(Q70)/3,0)&amp;"-"&amp;YEAR(Q70))</f>
        <v>Q1-2026</v>
      </c>
      <c r="S70" s="1" t="str">
        <v>Producción</v>
      </c>
      <c r="T70" s="1" t="str">
        <v/>
      </c>
      <c r="U70" s="1" t="str">
        <v/>
      </c>
      <c r="V70" s="1" t="str">
        <v/>
      </c>
      <c r="W70" s="1" t="str">
        <v>Media</v>
      </c>
      <c r="X70" s="1" t="str">
        <v/>
      </c>
      <c r="Y70" s="1" t="str">
        <v/>
      </c>
      <c r="Z70" s="1" t="str">
        <v>2026-06-05</v>
      </c>
      <c r="AA70" s="1" t="str">
        <v/>
      </c>
      <c r="AB70" s="1" t="str">
        <v/>
      </c>
      <c r="AC70" s="1" t="str">
        <v>API PROC en producción entregado en Q1</v>
      </c>
      <c r="AD70" s="1" t="str">
        <v/>
      </c>
      <c r="AE70" s="1" t="str">
        <v/>
      </c>
      <c r="AF70" s="1" t="str">
        <v/>
      </c>
      <c r="AG70" s="1" t="str">
        <v>Finalizado</v>
      </c>
      <c r="AH70" s="1" t="str">
        <v>Finalizado</v>
      </c>
      <c r="AI70" s="1" t="str">
        <v/>
      </c>
      <c r="AJ70" s="1" t="str">
        <v/>
      </c>
      <c r="AK70" s="1" t="str">
        <v/>
      </c>
      <c r="AL70" s="1" t="str">
        <v/>
      </c>
    </row>
    <row r="71">
      <c r="A71" s="1" t="str">
        <v>HIST-0070</v>
      </c>
      <c r="B71" s="1" t="str">
        <v>D0047</v>
      </c>
      <c r="C71" s="1" t="str">
        <v>Neobanco</v>
      </c>
      <c r="D71" s="1" t="str">
        <v/>
      </c>
      <c r="E71" s="1" t="str">
        <v>Creación</v>
      </c>
      <c r="F71" s="1" t="str">
        <v>OP-0035, OP-0036</v>
      </c>
      <c r="G71" s="1" t="str">
        <v>Ricardo Garmendia</v>
      </c>
      <c r="H71" s="1" t="str">
        <v>Jose Seminario</v>
      </c>
      <c r="I71" s="1" t="str">
        <v>Alex Guerrero</v>
      </c>
      <c r="J71" s="1" t="str">
        <v>Cesar Lama</v>
      </c>
      <c r="K71" s="1" t="str">
        <v>Telly Tataje</v>
      </c>
      <c r="L71" s="1" t="str">
        <v>Neobanco</v>
      </c>
      <c r="M71" s="1" t="str">
        <v>2026-06-30</v>
      </c>
      <c r="N71" s="1" t="str">
        <v/>
      </c>
      <c r="O71" s="1" t="str">
        <v/>
      </c>
      <c r="P71" s="1" t="str">
        <v/>
      </c>
      <c r="Q71" s="1" t="str">
        <v>2026-03-31</v>
      </c>
      <c r="R71" s="1" t="str">
        <f>IF(Q71="","","Q"&amp;ROUNDUP(MONTH(Q71)/3,0)&amp;"-"&amp;YEAR(Q71))</f>
        <v>Q1-2026</v>
      </c>
      <c r="S71" s="1" t="str">
        <v>Producción</v>
      </c>
      <c r="T71" s="1" t="str">
        <v/>
      </c>
      <c r="U71" s="1" t="str">
        <v/>
      </c>
      <c r="V71" s="1" t="str">
        <v/>
      </c>
      <c r="W71" s="1" t="str">
        <v>Media</v>
      </c>
      <c r="X71" s="1" t="str">
        <v/>
      </c>
      <c r="Y71" s="1" t="str">
        <v/>
      </c>
      <c r="Z71" s="1" t="str">
        <v>2026-06-05</v>
      </c>
      <c r="AA71" s="1" t="str">
        <v/>
      </c>
      <c r="AB71" s="1" t="str">
        <v/>
      </c>
      <c r="AC71" s="1" t="str">
        <v>Pasó a produccion en Q1</v>
      </c>
      <c r="AD71" s="1" t="str">
        <v/>
      </c>
      <c r="AE71" s="1" t="str">
        <v/>
      </c>
      <c r="AF71" s="1" t="str">
        <v/>
      </c>
      <c r="AG71" s="1" t="str">
        <v>Finalizado</v>
      </c>
      <c r="AH71" s="1" t="str">
        <v>Finalizado</v>
      </c>
      <c r="AI71" s="1" t="str">
        <v/>
      </c>
      <c r="AJ71" s="1" t="str">
        <v/>
      </c>
      <c r="AK71" s="1" t="str">
        <v/>
      </c>
      <c r="AL71" s="1" t="str">
        <v/>
      </c>
    </row>
    <row r="72">
      <c r="A72" s="1" t="str">
        <v>HIST-0071</v>
      </c>
      <c r="B72" s="1" t="str">
        <v>D0009</v>
      </c>
      <c r="C72" s="1" t="str">
        <v>Neobanco</v>
      </c>
      <c r="D72" s="1" t="str">
        <v/>
      </c>
      <c r="E72" s="1" t="str">
        <v>Creación</v>
      </c>
      <c r="F72" s="1" t="str">
        <v>OP-0037</v>
      </c>
      <c r="G72" s="1" t="str">
        <v>Ricardo Garmendia</v>
      </c>
      <c r="H72" s="1" t="str">
        <v>Jose Seminario</v>
      </c>
      <c r="I72" s="1" t="str">
        <v>Alex Guerrero</v>
      </c>
      <c r="J72" s="1" t="str">
        <v>Cesar Lama</v>
      </c>
      <c r="K72" s="1" t="str">
        <v>Telly Tataje</v>
      </c>
      <c r="L72" s="1" t="str">
        <v>Neobanco</v>
      </c>
      <c r="M72" s="1" t="str">
        <v>2026-06-30</v>
      </c>
      <c r="N72" s="1" t="str">
        <v/>
      </c>
      <c r="O72" s="1" t="str">
        <v/>
      </c>
      <c r="P72" s="1" t="str">
        <v/>
      </c>
      <c r="Q72" s="1" t="str">
        <v>2026-03-31</v>
      </c>
      <c r="R72" s="1" t="str">
        <f>IF(Q72="","","Q"&amp;ROUNDUP(MONTH(Q72)/3,0)&amp;"-"&amp;YEAR(Q72))</f>
        <v>Q1-2026</v>
      </c>
      <c r="S72" s="1" t="str">
        <v>Producción</v>
      </c>
      <c r="T72" s="1" t="str">
        <v/>
      </c>
      <c r="U72" s="1" t="str">
        <v/>
      </c>
      <c r="V72" s="1" t="str">
        <v/>
      </c>
      <c r="W72" s="1" t="str">
        <v>Media</v>
      </c>
      <c r="X72" s="1" t="str">
        <v/>
      </c>
      <c r="Y72" s="1" t="str">
        <v/>
      </c>
      <c r="Z72" s="1" t="str">
        <v>2026-07-07</v>
      </c>
      <c r="AA72" s="1" t="str">
        <v/>
      </c>
      <c r="AB72" s="1" t="str">
        <v/>
      </c>
      <c r="AC72" s="1" t="str">
        <v>Pasó a produccion en Q1</v>
      </c>
      <c r="AD72" s="1" t="str">
        <v/>
      </c>
      <c r="AE72" s="1" t="str">
        <v/>
      </c>
      <c r="AF72" s="1" t="str">
        <v/>
      </c>
      <c r="AG72" s="1" t="str">
        <v>Finalizado</v>
      </c>
      <c r="AH72" s="1" t="str">
        <v>En proceso</v>
      </c>
      <c r="AI72" s="1" t="str">
        <v/>
      </c>
      <c r="AJ72" s="1" t="str">
        <v/>
      </c>
      <c r="AK72" s="1" t="str">
        <v/>
      </c>
      <c r="AL72" s="1" t="str">
        <v/>
      </c>
    </row>
    <row r="73">
      <c r="A73" s="1" t="str">
        <v>HIST-0072</v>
      </c>
      <c r="B73" s="1" t="str">
        <v>D0003</v>
      </c>
      <c r="C73" s="1" t="str">
        <v>Neobanco</v>
      </c>
      <c r="D73" s="1" t="str">
        <v/>
      </c>
      <c r="E73" s="1" t="str">
        <v>Creación</v>
      </c>
      <c r="F73" s="1" t="str">
        <v>OP-0019</v>
      </c>
      <c r="G73" s="1" t="str">
        <v>Ricardo Garmendia</v>
      </c>
      <c r="H73" s="1" t="str">
        <v>Jose Seminario</v>
      </c>
      <c r="I73" s="1" t="str">
        <v>Alex Guerrero</v>
      </c>
      <c r="J73" s="1" t="str">
        <v>Cesar Lama</v>
      </c>
      <c r="K73" s="1" t="str">
        <v>Telly Tataje</v>
      </c>
      <c r="L73" s="1" t="str">
        <v>Neobanco</v>
      </c>
      <c r="M73" s="1" t="str">
        <v>2026-06-30</v>
      </c>
      <c r="N73" s="1" t="str">
        <v/>
      </c>
      <c r="O73" s="1" t="str">
        <v/>
      </c>
      <c r="P73" s="1" t="str">
        <v/>
      </c>
      <c r="Q73" s="1" t="str">
        <v>2026-03-31</v>
      </c>
      <c r="R73" s="1" t="str">
        <f>IF(Q73="","","Q"&amp;ROUNDUP(MONTH(Q73)/3,0)&amp;"-"&amp;YEAR(Q73))</f>
        <v>Q1-2026</v>
      </c>
      <c r="S73" s="1" t="str">
        <v>Producción</v>
      </c>
      <c r="T73" s="1" t="str">
        <v/>
      </c>
      <c r="U73" s="1" t="str">
        <v/>
      </c>
      <c r="V73" s="1" t="str">
        <v/>
      </c>
      <c r="W73" s="1" t="str">
        <v>Media</v>
      </c>
      <c r="X73" s="1" t="str">
        <v/>
      </c>
      <c r="Y73" s="1" t="str">
        <v/>
      </c>
      <c r="Z73" s="1" t="str">
        <v>2026-07-07</v>
      </c>
      <c r="AA73" s="1" t="str">
        <v/>
      </c>
      <c r="AB73" s="1" t="str">
        <v/>
      </c>
      <c r="AC73" s="1" t="str">
        <v>Pasó a produccion en Q1</v>
      </c>
      <c r="AD73" s="1" t="str">
        <v/>
      </c>
      <c r="AE73" s="1" t="str">
        <v/>
      </c>
      <c r="AF73" s="1" t="str">
        <v/>
      </c>
      <c r="AG73" s="1" t="str">
        <v>Finalizado</v>
      </c>
      <c r="AH73" s="1" t="str">
        <v>Finalizado</v>
      </c>
      <c r="AI73" s="1" t="str">
        <v/>
      </c>
      <c r="AJ73" s="1" t="str">
        <v/>
      </c>
      <c r="AK73" s="1" t="str">
        <v/>
      </c>
      <c r="AL73" s="1" t="str">
        <v/>
      </c>
    </row>
    <row r="74">
      <c r="A74" s="1" t="str">
        <v>HIST-0073</v>
      </c>
      <c r="B74" s="1" t="str">
        <v>D0019</v>
      </c>
      <c r="C74" s="1" t="str">
        <v>Neobanco</v>
      </c>
      <c r="D74" s="1" t="str">
        <v/>
      </c>
      <c r="E74" s="1" t="str">
        <v>Creación</v>
      </c>
      <c r="F74" s="1" t="str">
        <v>OP-0039, OP-0040</v>
      </c>
      <c r="G74" s="1" t="str">
        <v>Ricardo Garmendia</v>
      </c>
      <c r="H74" s="1" t="str">
        <v>Jose Seminario</v>
      </c>
      <c r="I74" s="1" t="str">
        <v>Alex Guerrero</v>
      </c>
      <c r="J74" s="1" t="str">
        <v>Cesar Lama</v>
      </c>
      <c r="K74" s="1" t="str">
        <v>Telly Tataje</v>
      </c>
      <c r="L74" s="1" t="str">
        <v>Neobanco</v>
      </c>
      <c r="M74" s="1" t="str">
        <v>2026-06-30</v>
      </c>
      <c r="N74" s="1" t="str">
        <v/>
      </c>
      <c r="O74" s="1" t="str">
        <v/>
      </c>
      <c r="P74" s="1" t="str">
        <v/>
      </c>
      <c r="Q74" s="1" t="str">
        <v>2026-03-31</v>
      </c>
      <c r="R74" s="1" t="str">
        <f>IF(Q74="","","Q"&amp;ROUNDUP(MONTH(Q74)/3,0)&amp;"-"&amp;YEAR(Q74))</f>
        <v>Q1-2026</v>
      </c>
      <c r="S74" s="1" t="str">
        <v>Producción</v>
      </c>
      <c r="T74" s="1" t="str">
        <v/>
      </c>
      <c r="U74" s="1" t="str">
        <v/>
      </c>
      <c r="V74" s="1" t="str">
        <v/>
      </c>
      <c r="W74" s="1" t="str">
        <v/>
      </c>
      <c r="X74" s="1" t="str">
        <v/>
      </c>
      <c r="Y74" s="1" t="str">
        <v/>
      </c>
      <c r="Z74" s="1" t="str">
        <v/>
      </c>
      <c r="AA74" s="1" t="str">
        <v/>
      </c>
      <c r="AB74" s="1" t="str">
        <v/>
      </c>
      <c r="AC74" s="1" t="str">
        <v>Pasó a produccion en Q1</v>
      </c>
      <c r="AD74" s="1" t="str">
        <v/>
      </c>
      <c r="AE74" s="1" t="str">
        <v/>
      </c>
      <c r="AF74" s="1" t="str">
        <v/>
      </c>
      <c r="AG74" s="1" t="str">
        <v/>
      </c>
      <c r="AH74" s="1" t="str">
        <v/>
      </c>
      <c r="AI74" s="1" t="str">
        <v/>
      </c>
      <c r="AJ74" s="1" t="str">
        <v/>
      </c>
      <c r="AK74" s="1" t="str">
        <v/>
      </c>
      <c r="AL74" s="1" t="str">
        <v/>
      </c>
    </row>
    <row r="75">
      <c r="A75" s="1" t="str">
        <v>HIST-0074</v>
      </c>
      <c r="B75" s="1" t="str">
        <v>D0015</v>
      </c>
      <c r="C75" s="1" t="str">
        <v>Neobanco</v>
      </c>
      <c r="D75" s="1" t="str">
        <v/>
      </c>
      <c r="E75" s="1" t="str">
        <v>Creación</v>
      </c>
      <c r="F75" s="1" t="str">
        <v>OP-0041, OP-0042</v>
      </c>
      <c r="G75" s="1" t="str">
        <v>Ricardo Garmendia</v>
      </c>
      <c r="H75" s="1" t="str">
        <v>Jose Seminario</v>
      </c>
      <c r="I75" s="1" t="str">
        <v>Diana Martinez</v>
      </c>
      <c r="J75" s="1" t="str">
        <v>Diana Martinez</v>
      </c>
      <c r="K75" s="1" t="str">
        <v>Telly Tataje</v>
      </c>
      <c r="L75" s="1" t="str">
        <v>Neobanco</v>
      </c>
      <c r="M75" s="1" t="str">
        <v>2026-06-30</v>
      </c>
      <c r="N75" s="1" t="str">
        <v/>
      </c>
      <c r="O75" s="1" t="str">
        <v/>
      </c>
      <c r="P75" s="1" t="str">
        <v/>
      </c>
      <c r="Q75" s="1" t="str">
        <v>2026-04-30</v>
      </c>
      <c r="R75" s="1" t="str">
        <f>IF(Q75="","","Q"&amp;ROUNDUP(MONTH(Q75)/3,0)&amp;"-"&amp;YEAR(Q75))</f>
        <v>Q2-2026</v>
      </c>
      <c r="S75" s="1" t="str">
        <v>Producción</v>
      </c>
      <c r="T75" s="1" t="str">
        <v/>
      </c>
      <c r="U75" s="1" t="str">
        <v/>
      </c>
      <c r="V75" s="1" t="str">
        <v/>
      </c>
      <c r="W75" s="1" t="str">
        <v>Media</v>
      </c>
      <c r="X75" s="1" t="str">
        <v/>
      </c>
      <c r="Y75" s="1" t="str">
        <v/>
      </c>
      <c r="Z75" s="1" t="str">
        <v>2026-07-07</v>
      </c>
      <c r="AA75" s="1" t="str">
        <v/>
      </c>
      <c r="AB75" s="1" t="str">
        <v/>
      </c>
      <c r="AC75" s="1" t="str">
        <v>Pasó a produccion en Q2</v>
      </c>
      <c r="AD75" s="1" t="str">
        <v/>
      </c>
      <c r="AE75" s="1" t="str">
        <v/>
      </c>
      <c r="AF75" s="1" t="str">
        <v/>
      </c>
      <c r="AG75" s="1" t="str">
        <v>Finalizado</v>
      </c>
      <c r="AH75" s="1" t="str">
        <v>En proceso</v>
      </c>
      <c r="AI75" s="1" t="str">
        <v/>
      </c>
      <c r="AJ75" s="1" t="str">
        <v/>
      </c>
      <c r="AK75" s="1" t="str">
        <v/>
      </c>
      <c r="AL75" s="1" t="str">
        <v/>
      </c>
    </row>
    <row r="76">
      <c r="A76" s="1" t="str">
        <v>HIST-0075</v>
      </c>
      <c r="B76" s="1" t="str">
        <v>D0032</v>
      </c>
      <c r="C76" s="1" t="str">
        <v>Neobanco</v>
      </c>
      <c r="D76" s="1" t="str">
        <v/>
      </c>
      <c r="E76" s="1" t="str">
        <v>Creación</v>
      </c>
      <c r="F76" s="1" t="str">
        <v>OP-0043</v>
      </c>
      <c r="G76" s="1" t="str">
        <v>Ricardo Garmendia</v>
      </c>
      <c r="H76" s="1" t="str">
        <v>Jose Seminario</v>
      </c>
      <c r="I76" s="1" t="str">
        <v>Diana Martinez</v>
      </c>
      <c r="J76" s="1" t="str">
        <v>Diana Martinez</v>
      </c>
      <c r="K76" s="1" t="str">
        <v>Telly Tataje</v>
      </c>
      <c r="L76" s="1" t="str">
        <v>Neobanco</v>
      </c>
      <c r="M76" s="1" t="str">
        <v>2026-06-30</v>
      </c>
      <c r="N76" s="1" t="str">
        <v/>
      </c>
      <c r="O76" s="1" t="str">
        <v/>
      </c>
      <c r="P76" s="1" t="str">
        <v/>
      </c>
      <c r="Q76" s="1" t="str">
        <v/>
      </c>
      <c r="R76" s="1" t="str">
        <f>IF(Q76="","","Q"&amp;ROUNDUP(MONTH(Q76)/3,0)&amp;"-"&amp;YEAR(Q76))</f>
        <v/>
      </c>
      <c r="S76" s="1" t="str">
        <v>Identificado</v>
      </c>
      <c r="T76" s="1" t="str">
        <v/>
      </c>
      <c r="U76" s="1" t="str">
        <v/>
      </c>
      <c r="V76" s="1" t="str">
        <v/>
      </c>
      <c r="W76" s="1" t="str">
        <v/>
      </c>
      <c r="X76" s="1" t="str">
        <v/>
      </c>
      <c r="Y76" s="1" t="str">
        <v/>
      </c>
      <c r="Z76" s="1" t="str">
        <v/>
      </c>
      <c r="AA76" s="1" t="str">
        <v/>
      </c>
      <c r="AB76" s="1" t="str">
        <v/>
      </c>
      <c r="AC76" s="1" t="str">
        <v>Desestimado en Neobanco, lo verá el proyecto Fraudes</v>
      </c>
      <c r="AD76" s="1" t="str">
        <v/>
      </c>
      <c r="AE76" s="1" t="str">
        <v/>
      </c>
      <c r="AF76" s="1" t="str">
        <v/>
      </c>
      <c r="AG76" s="1" t="str">
        <v/>
      </c>
      <c r="AH76" s="1" t="str">
        <v/>
      </c>
      <c r="AI76" s="1" t="str">
        <v/>
      </c>
      <c r="AJ76" s="1" t="str">
        <v/>
      </c>
      <c r="AK76" s="1" t="str">
        <v/>
      </c>
      <c r="AL76" s="1" t="str">
        <v/>
      </c>
    </row>
    <row r="77">
      <c r="A77" s="1" t="str">
        <v>HIST-0076</v>
      </c>
      <c r="B77" s="1" t="str">
        <v>D0048</v>
      </c>
      <c r="C77" s="1" t="str">
        <v>Neobanco</v>
      </c>
      <c r="D77" s="1" t="str">
        <v/>
      </c>
      <c r="E77" s="1" t="str">
        <v>Creación</v>
      </c>
      <c r="F77" s="1" t="str">
        <v/>
      </c>
      <c r="G77" s="1" t="str">
        <v>Ricardo Garmendia</v>
      </c>
      <c r="H77" s="1" t="str">
        <v>Jose Seminario</v>
      </c>
      <c r="I77" s="1" t="str">
        <v>Alex Guerrero</v>
      </c>
      <c r="J77" s="1" t="str">
        <v>Cesar Lama</v>
      </c>
      <c r="K77" s="1" t="str">
        <v>Telly Tataje</v>
      </c>
      <c r="L77" s="1" t="str">
        <v/>
      </c>
      <c r="M77" s="1" t="str">
        <v>2026-06-30</v>
      </c>
      <c r="N77" s="1" t="str">
        <v/>
      </c>
      <c r="O77" s="1" t="str">
        <v/>
      </c>
      <c r="P77" s="1" t="str">
        <v/>
      </c>
      <c r="Q77" s="1" t="str">
        <v>2026-03-31</v>
      </c>
      <c r="R77" s="1" t="str">
        <f>IF(Q77="","","Q"&amp;ROUNDUP(MONTH(Q77)/3,0)&amp;"-"&amp;YEAR(Q77))</f>
        <v>Q1-2026</v>
      </c>
      <c r="S77" s="1" t="str">
        <v>Producción</v>
      </c>
      <c r="T77" s="1" t="str">
        <v/>
      </c>
      <c r="U77" s="1" t="str">
        <v/>
      </c>
      <c r="V77" s="1" t="str">
        <v/>
      </c>
      <c r="W77" s="1" t="str">
        <v>Media</v>
      </c>
      <c r="X77" s="1" t="str">
        <v/>
      </c>
      <c r="Y77" s="1" t="str">
        <v/>
      </c>
      <c r="Z77" s="1" t="str">
        <v>2026-06-05</v>
      </c>
      <c r="AA77" s="1" t="str">
        <v/>
      </c>
      <c r="AB77" s="1" t="str">
        <v/>
      </c>
      <c r="AC77" s="1" t="str">
        <v>API PROC en producción entregado en Q1</v>
      </c>
      <c r="AD77" s="1" t="str">
        <v/>
      </c>
      <c r="AE77" s="1" t="str">
        <v/>
      </c>
      <c r="AF77" s="1" t="str">
        <v/>
      </c>
      <c r="AG77" s="1" t="str">
        <v>Finalizado</v>
      </c>
      <c r="AH77" s="1" t="str">
        <v>Finalizado</v>
      </c>
      <c r="AI77" s="1" t="str">
        <v/>
      </c>
      <c r="AJ77" s="1" t="str">
        <v/>
      </c>
      <c r="AK77" s="1" t="str">
        <v/>
      </c>
      <c r="AL77" s="1" t="str">
        <v/>
      </c>
    </row>
    <row r="78">
      <c r="A78" s="1" t="str">
        <v>HIST-0077</v>
      </c>
      <c r="B78" s="1" t="str">
        <v>D0039</v>
      </c>
      <c r="C78" s="1" t="str">
        <v>Neobanco</v>
      </c>
      <c r="D78" s="1" t="str">
        <v/>
      </c>
      <c r="E78" s="1" t="str">
        <v>Creación</v>
      </c>
      <c r="F78" s="1" t="str">
        <v>OP-0044, OP-0045</v>
      </c>
      <c r="G78" s="1" t="str">
        <v>Ricardo Garmendia</v>
      </c>
      <c r="H78" s="1" t="str">
        <v>Jose Seminario</v>
      </c>
      <c r="I78" s="1" t="str">
        <v>Alex Guerrero</v>
      </c>
      <c r="J78" s="1" t="str">
        <v>Cesar Lama</v>
      </c>
      <c r="K78" s="1" t="str">
        <v>Telly Tataje</v>
      </c>
      <c r="L78" s="1" t="str">
        <v>Neobanco</v>
      </c>
      <c r="M78" s="1" t="str">
        <v>2026-06-30</v>
      </c>
      <c r="N78" s="1" t="str">
        <v/>
      </c>
      <c r="O78" s="1" t="str">
        <v/>
      </c>
      <c r="P78" s="1" t="str">
        <v/>
      </c>
      <c r="Q78" s="1" t="str">
        <v>2026-03-31</v>
      </c>
      <c r="R78" s="1" t="str">
        <f>IF(Q78="","","Q"&amp;ROUNDUP(MONTH(Q78)/3,0)&amp;"-"&amp;YEAR(Q78))</f>
        <v>Q1-2026</v>
      </c>
      <c r="S78" s="1" t="str">
        <v>Producción</v>
      </c>
      <c r="T78" s="1" t="str">
        <v/>
      </c>
      <c r="U78" s="1" t="str">
        <v/>
      </c>
      <c r="V78" s="1" t="str">
        <v/>
      </c>
      <c r="W78" s="1" t="str">
        <v>Media</v>
      </c>
      <c r="X78" s="1" t="str">
        <v/>
      </c>
      <c r="Y78" s="1" t="str">
        <v/>
      </c>
      <c r="Z78" s="1" t="str">
        <v>2026-07-08</v>
      </c>
      <c r="AA78" s="1" t="str">
        <v/>
      </c>
      <c r="AB78" s="1" t="str">
        <v/>
      </c>
      <c r="AC78" s="1" t="str">
        <v>Pasó a produccion en Q1</v>
      </c>
      <c r="AD78" s="1" t="str">
        <v/>
      </c>
      <c r="AE78" s="1" t="str">
        <v/>
      </c>
      <c r="AF78" s="1" t="str">
        <v/>
      </c>
      <c r="AG78" s="1" t="str">
        <v/>
      </c>
      <c r="AH78" s="1" t="str">
        <v/>
      </c>
      <c r="AI78" s="1" t="str">
        <v/>
      </c>
      <c r="AJ78" s="1" t="str">
        <v/>
      </c>
      <c r="AK78" s="1" t="str">
        <v/>
      </c>
      <c r="AL78" s="1" t="str">
        <v/>
      </c>
    </row>
    <row r="79">
      <c r="A79" s="1" t="str">
        <v>HIST-0078</v>
      </c>
      <c r="B79" s="1" t="str">
        <v>D0006</v>
      </c>
      <c r="C79" s="1" t="str">
        <v>Neobanco</v>
      </c>
      <c r="D79" s="1" t="str">
        <v/>
      </c>
      <c r="E79" s="1" t="str">
        <v>Creación</v>
      </c>
      <c r="F79" s="1" t="str">
        <v>OP-0046, OP-0047</v>
      </c>
      <c r="G79" s="1" t="str">
        <v>Ricardo Garmendia</v>
      </c>
      <c r="H79" s="1" t="str">
        <v>Jose Seminario</v>
      </c>
      <c r="I79" s="1" t="str">
        <v>Alex Guerrero</v>
      </c>
      <c r="J79" s="1" t="str">
        <v>Cesar Lama</v>
      </c>
      <c r="K79" s="1" t="str">
        <v>Telly Tataje</v>
      </c>
      <c r="L79" s="1" t="str">
        <v>Neobanco</v>
      </c>
      <c r="M79" s="1" t="str">
        <v>2026-06-30</v>
      </c>
      <c r="N79" s="1" t="str">
        <v/>
      </c>
      <c r="O79" s="1" t="str">
        <v/>
      </c>
      <c r="P79" s="1" t="str">
        <v/>
      </c>
      <c r="Q79" s="1" t="str">
        <v>2026-03-31</v>
      </c>
      <c r="R79" s="1" t="str">
        <f>IF(Q79="","","Q"&amp;ROUNDUP(MONTH(Q79)/3,0)&amp;"-"&amp;YEAR(Q79))</f>
        <v>Q1-2026</v>
      </c>
      <c r="S79" s="1" t="str">
        <v>Producción</v>
      </c>
      <c r="T79" s="1" t="str">
        <v/>
      </c>
      <c r="U79" s="1" t="str">
        <v/>
      </c>
      <c r="V79" s="1" t="str">
        <v/>
      </c>
      <c r="W79" s="1" t="str">
        <v>Media</v>
      </c>
      <c r="X79" s="1" t="str">
        <v/>
      </c>
      <c r="Y79" s="1" t="str">
        <v/>
      </c>
      <c r="Z79" s="1" t="str">
        <v>2026-07-07</v>
      </c>
      <c r="AA79" s="1" t="str">
        <v/>
      </c>
      <c r="AB79" s="1" t="str">
        <v/>
      </c>
      <c r="AC79" s="1" t="str">
        <v>Pasó a produccion en Q1</v>
      </c>
      <c r="AD79" s="1" t="str">
        <v/>
      </c>
      <c r="AE79" s="1" t="str">
        <v/>
      </c>
      <c r="AF79" s="1" t="str">
        <v/>
      </c>
      <c r="AG79" s="1" t="str">
        <v>Finalizado</v>
      </c>
      <c r="AH79" s="1" t="str">
        <v>Finalizado</v>
      </c>
      <c r="AI79" s="1" t="str">
        <v/>
      </c>
      <c r="AJ79" s="1" t="str">
        <v/>
      </c>
      <c r="AK79" s="1" t="str">
        <v/>
      </c>
      <c r="AL79" s="1" t="str">
        <v/>
      </c>
    </row>
    <row r="80">
      <c r="A80" s="1" t="str">
        <v>HIST-0079</v>
      </c>
      <c r="B80" s="1" t="str">
        <v>D0049</v>
      </c>
      <c r="C80" s="1" t="str">
        <v>Neobanco</v>
      </c>
      <c r="D80" s="1" t="str">
        <v/>
      </c>
      <c r="E80" s="1" t="str">
        <v>Creación</v>
      </c>
      <c r="F80" s="1" t="str">
        <v/>
      </c>
      <c r="G80" s="1" t="str">
        <v>Ricardo Garmendia</v>
      </c>
      <c r="H80" s="1" t="str">
        <v>Jose Seminario</v>
      </c>
      <c r="I80" s="1" t="str">
        <v>Alex Guerrero</v>
      </c>
      <c r="J80" s="1" t="str">
        <v>Cesar Lama</v>
      </c>
      <c r="K80" s="1" t="str">
        <v>Telly Tataje</v>
      </c>
      <c r="L80" s="1" t="str">
        <v/>
      </c>
      <c r="M80" s="1" t="str">
        <v>2026-06-30</v>
      </c>
      <c r="N80" s="1" t="str">
        <v/>
      </c>
      <c r="O80" s="1" t="str">
        <v/>
      </c>
      <c r="P80" s="1" t="str">
        <v/>
      </c>
      <c r="Q80" s="1" t="str">
        <v>2026-03-31</v>
      </c>
      <c r="R80" s="1" t="str">
        <f>IF(Q80="","","Q"&amp;ROUNDUP(MONTH(Q80)/3,0)&amp;"-"&amp;YEAR(Q80))</f>
        <v>Q1-2026</v>
      </c>
      <c r="S80" s="1" t="str">
        <v>Producción</v>
      </c>
      <c r="T80" s="1" t="str">
        <v/>
      </c>
      <c r="U80" s="1" t="str">
        <v/>
      </c>
      <c r="V80" s="1" t="str">
        <v/>
      </c>
      <c r="W80" s="1" t="str">
        <v>Media</v>
      </c>
      <c r="X80" s="1" t="str">
        <v/>
      </c>
      <c r="Y80" s="1" t="str">
        <v/>
      </c>
      <c r="Z80" s="1" t="str">
        <v>2026-06-05</v>
      </c>
      <c r="AA80" s="1" t="str">
        <v/>
      </c>
      <c r="AB80" s="1" t="str">
        <v/>
      </c>
      <c r="AC80" s="1" t="str">
        <v>API PROC en producción entregado en Q1</v>
      </c>
      <c r="AD80" s="1" t="str">
        <v/>
      </c>
      <c r="AE80" s="1" t="str">
        <v/>
      </c>
      <c r="AF80" s="1" t="str">
        <v/>
      </c>
      <c r="AG80" s="1" t="str">
        <v>Finalizado</v>
      </c>
      <c r="AH80" s="1" t="str">
        <v>Finalizado</v>
      </c>
      <c r="AI80" s="1" t="str">
        <v/>
      </c>
      <c r="AJ80" s="1" t="str">
        <v/>
      </c>
      <c r="AK80" s="1" t="str">
        <v/>
      </c>
      <c r="AL80" s="1" t="str">
        <v/>
      </c>
    </row>
    <row r="81">
      <c r="A81" s="1" t="str">
        <v>HIST-0080</v>
      </c>
      <c r="B81" s="1" t="str">
        <v>D0024</v>
      </c>
      <c r="C81" s="1" t="str">
        <v>Neobanco</v>
      </c>
      <c r="D81" s="1" t="str">
        <v/>
      </c>
      <c r="E81" s="1" t="str">
        <v>Creación</v>
      </c>
      <c r="F81" s="1" t="str">
        <v>OP-0048, OP-0049</v>
      </c>
      <c r="G81" s="1" t="str">
        <v>Ricardo Garmendia</v>
      </c>
      <c r="H81" s="1" t="str">
        <v>Jose Seminario</v>
      </c>
      <c r="I81" s="1" t="str">
        <v>Diana Martinez</v>
      </c>
      <c r="J81" s="1" t="str">
        <v>Diana Martinez</v>
      </c>
      <c r="K81" s="1" t="str">
        <v>Telly Tataje</v>
      </c>
      <c r="L81" s="1" t="str">
        <v>Neobanco</v>
      </c>
      <c r="M81" s="1" t="str">
        <v>2026-06-30</v>
      </c>
      <c r="N81" s="1" t="str">
        <v/>
      </c>
      <c r="O81" s="1" t="str">
        <v/>
      </c>
      <c r="P81" s="1" t="str">
        <v/>
      </c>
      <c r="Q81" s="1" t="str">
        <v>2026-04-30</v>
      </c>
      <c r="R81" s="1" t="str">
        <f>IF(Q81="","","Q"&amp;ROUNDUP(MONTH(Q81)/3,0)&amp;"-"&amp;YEAR(Q81))</f>
        <v>Q2-2026</v>
      </c>
      <c r="S81" s="1" t="str">
        <v>Producción</v>
      </c>
      <c r="T81" s="1" t="str">
        <v/>
      </c>
      <c r="U81" s="1" t="str">
        <v/>
      </c>
      <c r="V81" s="1" t="str">
        <v/>
      </c>
      <c r="W81" s="1" t="str">
        <v/>
      </c>
      <c r="X81" s="1" t="str">
        <v/>
      </c>
      <c r="Y81" s="1" t="str">
        <v/>
      </c>
      <c r="Z81" s="1" t="str">
        <v>2026-07-21</v>
      </c>
      <c r="AA81" s="1" t="str">
        <v/>
      </c>
      <c r="AB81" s="1" t="str">
        <v/>
      </c>
      <c r="AC81" s="1" t="str">
        <v>Pasó a produccion en Q2</v>
      </c>
      <c r="AD81" s="1" t="str">
        <v/>
      </c>
      <c r="AE81" s="1" t="str">
        <v/>
      </c>
      <c r="AF81" s="1" t="str">
        <v/>
      </c>
      <c r="AG81" s="1" t="str">
        <v/>
      </c>
      <c r="AH81" s="1" t="str">
        <v/>
      </c>
      <c r="AI81" s="1" t="str">
        <v/>
      </c>
      <c r="AJ81" s="1" t="str">
        <v/>
      </c>
      <c r="AK81" s="1" t="str">
        <v/>
      </c>
      <c r="AL81" s="1" t="str">
        <v/>
      </c>
    </row>
    <row r="82">
      <c r="A82" s="1" t="str">
        <v>HIST-0081</v>
      </c>
      <c r="B82" s="1" t="str">
        <v>D0007</v>
      </c>
      <c r="C82" s="1" t="str">
        <v>Neobanco</v>
      </c>
      <c r="D82" s="1" t="str">
        <v/>
      </c>
      <c r="E82" s="1" t="str">
        <v>Creación</v>
      </c>
      <c r="F82" s="1" t="str">
        <v>OP-0050</v>
      </c>
      <c r="G82" s="1" t="str">
        <v>Ricardo Garmendia</v>
      </c>
      <c r="H82" s="1" t="str">
        <v>Jose Seminario</v>
      </c>
      <c r="I82" s="1" t="str">
        <v>Alex Guerrero</v>
      </c>
      <c r="J82" s="1" t="str">
        <v>Cesar Lama</v>
      </c>
      <c r="K82" s="1" t="str">
        <v>Telly Tataje</v>
      </c>
      <c r="L82" s="1" t="str">
        <v>WhatsApp</v>
      </c>
      <c r="M82" s="1" t="str">
        <v>2026-06-30</v>
      </c>
      <c r="N82" s="1" t="str">
        <v/>
      </c>
      <c r="O82" s="1" t="str">
        <v/>
      </c>
      <c r="P82" s="1" t="str">
        <v/>
      </c>
      <c r="Q82" s="1" t="str">
        <v>2026-03-31</v>
      </c>
      <c r="R82" s="1" t="str">
        <f>IF(Q82="","","Q"&amp;ROUNDUP(MONTH(Q82)/3,0)&amp;"-"&amp;YEAR(Q82))</f>
        <v>Q1-2026</v>
      </c>
      <c r="S82" s="1" t="str">
        <v>Producción</v>
      </c>
      <c r="T82" s="1" t="str">
        <v/>
      </c>
      <c r="U82" s="1" t="str">
        <v/>
      </c>
      <c r="V82" s="1" t="str">
        <v/>
      </c>
      <c r="W82" s="1" t="str">
        <v>Media</v>
      </c>
      <c r="X82" s="1" t="str">
        <v/>
      </c>
      <c r="Y82" s="1" t="str">
        <v/>
      </c>
      <c r="Z82" s="1" t="str">
        <v>2026-07-07</v>
      </c>
      <c r="AA82" s="1" t="str">
        <v/>
      </c>
      <c r="AB82" s="1" t="str">
        <v/>
      </c>
      <c r="AC82" s="1" t="str">
        <v>Pasó a produccion en Q1</v>
      </c>
      <c r="AD82" s="1" t="str">
        <v/>
      </c>
      <c r="AE82" s="1" t="str">
        <v/>
      </c>
      <c r="AF82" s="1" t="str">
        <v/>
      </c>
      <c r="AG82" s="1" t="str">
        <v>En proceso</v>
      </c>
      <c r="AH82" s="1" t="str">
        <v/>
      </c>
      <c r="AI82" s="1" t="str">
        <v/>
      </c>
      <c r="AJ82" s="1" t="str">
        <v/>
      </c>
      <c r="AK82" s="1" t="str">
        <v/>
      </c>
      <c r="AL82" s="1" t="str">
        <v/>
      </c>
    </row>
    <row r="83">
      <c r="A83" s="1" t="str">
        <v>HIST-0082</v>
      </c>
      <c r="B83" s="1" t="str">
        <v>D0029</v>
      </c>
      <c r="C83" s="1" t="str">
        <v>Neobanco</v>
      </c>
      <c r="D83" s="1" t="str">
        <v/>
      </c>
      <c r="E83" s="1" t="str">
        <v>Creación</v>
      </c>
      <c r="F83" s="1" t="str">
        <v>OP-0051</v>
      </c>
      <c r="G83" s="1" t="str">
        <v>Ricardo Garmendia</v>
      </c>
      <c r="H83" s="1" t="str">
        <v>Jose Seminario</v>
      </c>
      <c r="I83" s="1" t="str">
        <v>Alex Guerrero</v>
      </c>
      <c r="J83" s="1" t="str">
        <v>Cesar Lama</v>
      </c>
      <c r="K83" s="1" t="str">
        <v>Telly Tataje</v>
      </c>
      <c r="L83" s="1" t="str">
        <v>Neobanco</v>
      </c>
      <c r="M83" s="1" t="str">
        <v>2026-06-30</v>
      </c>
      <c r="N83" s="1" t="str">
        <v/>
      </c>
      <c r="O83" s="1" t="str">
        <v/>
      </c>
      <c r="P83" s="1" t="str">
        <v/>
      </c>
      <c r="Q83" s="1" t="str">
        <v>2026-03-31</v>
      </c>
      <c r="R83" s="1" t="str">
        <f>IF(Q83="","","Q"&amp;ROUNDUP(MONTH(Q83)/3,0)&amp;"-"&amp;YEAR(Q83))</f>
        <v>Q1-2026</v>
      </c>
      <c r="S83" s="1" t="str">
        <v>Producción</v>
      </c>
      <c r="T83" s="1" t="str">
        <v/>
      </c>
      <c r="U83" s="1" t="str">
        <v/>
      </c>
      <c r="V83" s="1" t="str">
        <v/>
      </c>
      <c r="W83" s="1" t="str">
        <v/>
      </c>
      <c r="X83" s="1" t="str">
        <v/>
      </c>
      <c r="Y83" s="1" t="str">
        <v/>
      </c>
      <c r="Z83" s="1" t="str">
        <v/>
      </c>
      <c r="AA83" s="1" t="str">
        <v/>
      </c>
      <c r="AB83" s="1" t="str">
        <v/>
      </c>
      <c r="AC83" s="1" t="str">
        <v>Pasó a produccion en Q1</v>
      </c>
      <c r="AD83" s="1" t="str">
        <v/>
      </c>
      <c r="AE83" s="1" t="str">
        <v/>
      </c>
      <c r="AF83" s="1" t="str">
        <v/>
      </c>
      <c r="AG83" s="1" t="str">
        <v/>
      </c>
      <c r="AH83" s="1" t="str">
        <v/>
      </c>
      <c r="AI83" s="1" t="str">
        <v/>
      </c>
      <c r="AJ83" s="1" t="str">
        <v/>
      </c>
      <c r="AK83" s="1" t="str">
        <v/>
      </c>
      <c r="AL83" s="1" t="str">
        <v/>
      </c>
    </row>
    <row r="84">
      <c r="A84" s="1" t="str">
        <v>HIST-0083</v>
      </c>
      <c r="B84" s="1" t="str">
        <v>D0028</v>
      </c>
      <c r="C84" s="1" t="str">
        <v>Neobanco</v>
      </c>
      <c r="D84" s="1" t="str">
        <v/>
      </c>
      <c r="E84" s="1" t="str">
        <v>Creación</v>
      </c>
      <c r="F84" s="1" t="str">
        <v>OP-0052</v>
      </c>
      <c r="G84" s="1" t="str">
        <v>Ricardo Garmendia</v>
      </c>
      <c r="H84" s="1" t="str">
        <v>Jose Seminario</v>
      </c>
      <c r="I84" s="1" t="str">
        <v>Alex Guerrero</v>
      </c>
      <c r="J84" s="1" t="str">
        <v>Cesar Lama</v>
      </c>
      <c r="K84" s="1" t="str">
        <v>Telly Tataje</v>
      </c>
      <c r="L84" s="1" t="str">
        <v>Neobanco</v>
      </c>
      <c r="M84" s="1" t="str">
        <v>2026-06-30</v>
      </c>
      <c r="N84" s="1" t="str">
        <v/>
      </c>
      <c r="O84" s="1" t="str">
        <v/>
      </c>
      <c r="P84" s="1" t="str">
        <v/>
      </c>
      <c r="Q84" s="1" t="str">
        <v>2026-03-31</v>
      </c>
      <c r="R84" s="1" t="str">
        <f>IF(Q84="","","Q"&amp;ROUNDUP(MONTH(Q84)/3,0)&amp;"-"&amp;YEAR(Q84))</f>
        <v>Q1-2026</v>
      </c>
      <c r="S84" s="1" t="str">
        <v>Producción</v>
      </c>
      <c r="T84" s="1" t="str">
        <v/>
      </c>
      <c r="U84" s="1" t="str">
        <v/>
      </c>
      <c r="V84" s="1" t="str">
        <v/>
      </c>
      <c r="W84" s="1" t="str">
        <v/>
      </c>
      <c r="X84" s="1" t="str">
        <v/>
      </c>
      <c r="Y84" s="1" t="str">
        <v/>
      </c>
      <c r="Z84" s="1" t="str">
        <v/>
      </c>
      <c r="AA84" s="1" t="str">
        <v/>
      </c>
      <c r="AB84" s="1" t="str">
        <v/>
      </c>
      <c r="AC84" s="1" t="str">
        <v>Pasó a produccion en Q1</v>
      </c>
      <c r="AD84" s="1" t="str">
        <v/>
      </c>
      <c r="AE84" s="1" t="str">
        <v/>
      </c>
      <c r="AF84" s="1" t="str">
        <v/>
      </c>
      <c r="AG84" s="1" t="str">
        <v/>
      </c>
      <c r="AH84" s="1" t="str">
        <v/>
      </c>
      <c r="AI84" s="1" t="str">
        <v/>
      </c>
      <c r="AJ84" s="1" t="str">
        <v/>
      </c>
      <c r="AK84" s="1" t="str">
        <v/>
      </c>
      <c r="AL84" s="1" t="str">
        <v/>
      </c>
    </row>
    <row r="85">
      <c r="A85" s="1" t="str">
        <v>HIST-0084</v>
      </c>
      <c r="B85" s="1" t="str">
        <v>D0017</v>
      </c>
      <c r="C85" s="1" t="str">
        <v>Neobanco</v>
      </c>
      <c r="D85" s="1" t="str">
        <v/>
      </c>
      <c r="E85" s="1" t="str">
        <v>Creación</v>
      </c>
      <c r="F85" s="1" t="str">
        <v>OP-0053, OP-0054, OP-0055</v>
      </c>
      <c r="G85" s="1" t="str">
        <v>Ricardo Garmendia</v>
      </c>
      <c r="H85" s="1" t="str">
        <v>Jose Seminario</v>
      </c>
      <c r="I85" s="1" t="str">
        <v>Alex Guerrero</v>
      </c>
      <c r="J85" s="1" t="str">
        <v>Cesar Lama</v>
      </c>
      <c r="K85" s="1" t="str">
        <v>Telly Tataje</v>
      </c>
      <c r="L85" s="1" t="str">
        <v>Neobanco</v>
      </c>
      <c r="M85" s="1" t="str">
        <v>2026-06-30</v>
      </c>
      <c r="N85" s="1" t="str">
        <v/>
      </c>
      <c r="O85" s="1" t="str">
        <v/>
      </c>
      <c r="P85" s="1" t="str">
        <v/>
      </c>
      <c r="Q85" s="1" t="str">
        <v>2026-03-31</v>
      </c>
      <c r="R85" s="1" t="str">
        <f>IF(Q85="","","Q"&amp;ROUNDUP(MONTH(Q85)/3,0)&amp;"-"&amp;YEAR(Q85))</f>
        <v>Q1-2026</v>
      </c>
      <c r="S85" s="1" t="str">
        <v>Producción</v>
      </c>
      <c r="T85" s="1" t="str">
        <v/>
      </c>
      <c r="U85" s="1" t="str">
        <v/>
      </c>
      <c r="V85" s="1" t="str">
        <v/>
      </c>
      <c r="W85" s="1" t="str">
        <v>Media</v>
      </c>
      <c r="X85" s="1" t="str">
        <v/>
      </c>
      <c r="Y85" s="1" t="str">
        <v/>
      </c>
      <c r="Z85" s="1" t="str">
        <v>2026-07-07</v>
      </c>
      <c r="AA85" s="1" t="str">
        <v/>
      </c>
      <c r="AB85" s="1" t="str">
        <v/>
      </c>
      <c r="AC85" s="1" t="str">
        <v>Pasó a produccion en Q1</v>
      </c>
      <c r="AD85" s="1" t="str">
        <v/>
      </c>
      <c r="AE85" s="1" t="str">
        <v/>
      </c>
      <c r="AF85" s="1" t="str">
        <v/>
      </c>
      <c r="AG85" s="1" t="str">
        <v>En proceso</v>
      </c>
      <c r="AH85" s="1" t="str">
        <v/>
      </c>
      <c r="AI85" s="1" t="str">
        <v/>
      </c>
      <c r="AJ85" s="1" t="str">
        <v/>
      </c>
      <c r="AK85" s="1" t="str">
        <v/>
      </c>
      <c r="AL85" s="1" t="str">
        <v/>
      </c>
    </row>
    <row r="86">
      <c r="A86" s="1" t="str">
        <v>HIST-0085</v>
      </c>
      <c r="B86" s="1" t="str">
        <v>D0050</v>
      </c>
      <c r="C86" s="1" t="str">
        <v>Neobanco</v>
      </c>
      <c r="D86" s="1" t="str">
        <v/>
      </c>
      <c r="E86" s="1" t="str">
        <v>Creación</v>
      </c>
      <c r="F86" s="1" t="str">
        <v/>
      </c>
      <c r="G86" s="1" t="str">
        <v>Ricardo Garmendia</v>
      </c>
      <c r="H86" s="1" t="str">
        <v>Jose Seminario</v>
      </c>
      <c r="I86" s="1" t="str">
        <v>Alex Guerrero</v>
      </c>
      <c r="J86" s="1" t="str">
        <v>Cesar Lama</v>
      </c>
      <c r="K86" s="1" t="str">
        <v>Telly Tataje</v>
      </c>
      <c r="L86" s="1" t="str">
        <v/>
      </c>
      <c r="M86" s="1" t="str">
        <v>2026-06-30</v>
      </c>
      <c r="N86" s="1" t="str">
        <v/>
      </c>
      <c r="O86" s="1" t="str">
        <v/>
      </c>
      <c r="P86" s="1" t="str">
        <v/>
      </c>
      <c r="Q86" s="1" t="str">
        <v>2026-03-31</v>
      </c>
      <c r="R86" s="1" t="str">
        <f>IF(Q86="","","Q"&amp;ROUNDUP(MONTH(Q86)/3,0)&amp;"-"&amp;YEAR(Q86))</f>
        <v>Q1-2026</v>
      </c>
      <c r="S86" s="1" t="str">
        <v>Producción</v>
      </c>
      <c r="T86" s="1" t="str">
        <v/>
      </c>
      <c r="U86" s="1" t="str">
        <v/>
      </c>
      <c r="V86" s="1" t="str">
        <v/>
      </c>
      <c r="W86" s="1" t="str">
        <v>Media</v>
      </c>
      <c r="X86" s="1" t="str">
        <v/>
      </c>
      <c r="Y86" s="1" t="str">
        <v/>
      </c>
      <c r="Z86" s="1" t="str">
        <v>2026-06-05</v>
      </c>
      <c r="AA86" s="1" t="str">
        <v/>
      </c>
      <c r="AB86" s="1" t="str">
        <v/>
      </c>
      <c r="AC86" s="1" t="str">
        <v>API PROC en producción entregado en Q1</v>
      </c>
      <c r="AD86" s="1" t="str">
        <v/>
      </c>
      <c r="AE86" s="1" t="str">
        <v/>
      </c>
      <c r="AF86" s="1" t="str">
        <v/>
      </c>
      <c r="AG86" s="1" t="str">
        <v>Finalizado</v>
      </c>
      <c r="AH86" s="1" t="str">
        <v>Finalizado</v>
      </c>
      <c r="AI86" s="1" t="str">
        <v/>
      </c>
      <c r="AJ86" s="1" t="str">
        <v/>
      </c>
      <c r="AK86" s="1" t="str">
        <v/>
      </c>
      <c r="AL86" s="1" t="str">
        <v/>
      </c>
    </row>
    <row r="87">
      <c r="A87" s="1" t="str">
        <v>HIST-0086</v>
      </c>
      <c r="B87" s="1" t="str">
        <v>D0021</v>
      </c>
      <c r="C87" s="1" t="str">
        <v>Neobanco</v>
      </c>
      <c r="D87" s="1" t="str">
        <v/>
      </c>
      <c r="E87" s="1" t="str">
        <v>Creación</v>
      </c>
      <c r="F87" s="1" t="str">
        <v>OP-0057, OP-0058</v>
      </c>
      <c r="G87" s="1" t="str">
        <v>Ricardo Garmendia</v>
      </c>
      <c r="H87" s="1" t="str">
        <v>Jose Seminario</v>
      </c>
      <c r="I87" s="1" t="str">
        <v>Alex Guerrero</v>
      </c>
      <c r="J87" s="1" t="str">
        <v>Cesar Lama</v>
      </c>
      <c r="K87" s="1" t="str">
        <v>Telly Tataje</v>
      </c>
      <c r="L87" s="1" t="str">
        <v>Neobanco</v>
      </c>
      <c r="M87" s="1" t="str">
        <v>2026-06-30</v>
      </c>
      <c r="N87" s="1" t="str">
        <v/>
      </c>
      <c r="O87" s="1" t="str">
        <v/>
      </c>
      <c r="P87" s="1" t="str">
        <v/>
      </c>
      <c r="Q87" s="1" t="str">
        <v>2026-03-31</v>
      </c>
      <c r="R87" s="1" t="str">
        <f>IF(Q87="","","Q"&amp;ROUNDUP(MONTH(Q87)/3,0)&amp;"-"&amp;YEAR(Q87))</f>
        <v>Q1-2026</v>
      </c>
      <c r="S87" s="1" t="str">
        <v>Producción</v>
      </c>
      <c r="T87" s="1" t="str">
        <v/>
      </c>
      <c r="U87" s="1" t="str">
        <v/>
      </c>
      <c r="V87" s="1" t="str">
        <v/>
      </c>
      <c r="W87" s="1" t="str">
        <v/>
      </c>
      <c r="X87" s="1" t="str">
        <v/>
      </c>
      <c r="Y87" s="1" t="str">
        <v/>
      </c>
      <c r="Z87" s="1" t="str">
        <v/>
      </c>
      <c r="AA87" s="1" t="str">
        <v/>
      </c>
      <c r="AB87" s="1" t="str">
        <v/>
      </c>
      <c r="AC87" s="1" t="str">
        <v>Pasó a produccion en Q1</v>
      </c>
      <c r="AD87" s="1" t="str">
        <v/>
      </c>
      <c r="AE87" s="1" t="str">
        <v/>
      </c>
      <c r="AF87" s="1" t="str">
        <v/>
      </c>
      <c r="AG87" s="1" t="str">
        <v/>
      </c>
      <c r="AH87" s="1" t="str">
        <v/>
      </c>
      <c r="AI87" s="1" t="str">
        <v/>
      </c>
      <c r="AJ87" s="1" t="str">
        <v/>
      </c>
      <c r="AK87" s="1" t="str">
        <v/>
      </c>
      <c r="AL87" s="1" t="str">
        <v/>
      </c>
    </row>
    <row r="88">
      <c r="A88" s="1" t="str">
        <v>HIST-0087</v>
      </c>
      <c r="B88" s="1" t="str">
        <v>D0051</v>
      </c>
      <c r="C88" s="1" t="str">
        <v>Plataforma de Integración</v>
      </c>
      <c r="D88" s="1" t="str">
        <v/>
      </c>
      <c r="E88" s="1" t="str">
        <v>Creación</v>
      </c>
      <c r="F88" s="1" t="str">
        <v/>
      </c>
      <c r="G88" s="1" t="str">
        <v/>
      </c>
      <c r="H88" s="1" t="str">
        <v/>
      </c>
      <c r="I88" s="1" t="str">
        <v/>
      </c>
      <c r="J88" s="1" t="str">
        <v/>
      </c>
      <c r="K88" s="1" t="str">
        <v>Edward Aviles Chabur</v>
      </c>
      <c r="L88" s="1" t="str">
        <v>App</v>
      </c>
      <c r="M88" s="1" t="str">
        <v>2026-03-30</v>
      </c>
      <c r="N88" s="1" t="str">
        <v/>
      </c>
      <c r="O88" s="1" t="str">
        <v/>
      </c>
      <c r="P88" s="1" t="str">
        <v/>
      </c>
      <c r="Q88" s="1" t="str">
        <v/>
      </c>
      <c r="R88" s="1" t="str">
        <f>IF(Q88="","","Q"&amp;ROUNDUP(MONTH(Q88)/3,0)&amp;"-"&amp;YEAR(Q88))</f>
        <v/>
      </c>
      <c r="S88" s="1" t="str">
        <v>Identificado</v>
      </c>
      <c r="T88" s="1" t="str">
        <v/>
      </c>
      <c r="U88" s="1" t="str">
        <v/>
      </c>
      <c r="V88" s="1" t="str">
        <v/>
      </c>
      <c r="W88" s="1" t="str">
        <v>Media</v>
      </c>
      <c r="X88" s="1" t="str">
        <v/>
      </c>
      <c r="Y88" s="1" t="str">
        <v/>
      </c>
      <c r="Z88" s="1" t="str">
        <v>2026-07-08</v>
      </c>
      <c r="AA88" s="1" t="str">
        <v/>
      </c>
      <c r="AB88" s="1" t="str">
        <v/>
      </c>
      <c r="AC88" s="1" t="str">
        <v>Se compromete para el Q3</v>
      </c>
      <c r="AD88" s="1" t="str">
        <v/>
      </c>
      <c r="AE88" s="1" t="str">
        <v/>
      </c>
      <c r="AF88" s="1" t="str">
        <v/>
      </c>
      <c r="AG88" s="1" t="str">
        <v>En proceso</v>
      </c>
      <c r="AH88" s="1" t="str">
        <v>No iniciado</v>
      </c>
      <c r="AI88" s="1" t="str">
        <v/>
      </c>
      <c r="AJ88" s="1" t="str">
        <v/>
      </c>
      <c r="AK88" s="1" t="str">
        <v/>
      </c>
      <c r="AL88" s="1" t="str">
        <v/>
      </c>
    </row>
    <row r="89">
      <c r="A89" s="1" t="str">
        <v>HIST-0088</v>
      </c>
      <c r="B89" s="1" t="str">
        <v>D0052</v>
      </c>
      <c r="C89" s="1" t="str">
        <v>Plataforma de Integración</v>
      </c>
      <c r="D89" s="1" t="str">
        <v/>
      </c>
      <c r="E89" s="1" t="str">
        <v>Creación</v>
      </c>
      <c r="F89" s="1" t="str">
        <v/>
      </c>
      <c r="G89" s="1" t="str">
        <v/>
      </c>
      <c r="H89" s="1" t="str">
        <v/>
      </c>
      <c r="I89" s="1" t="str">
        <v/>
      </c>
      <c r="J89" s="1" t="str">
        <v/>
      </c>
      <c r="K89" s="1" t="str">
        <v>Edward Aviles Chabur</v>
      </c>
      <c r="L89" s="1" t="str">
        <v>App</v>
      </c>
      <c r="M89" s="1" t="str">
        <v>2026-03-30</v>
      </c>
      <c r="N89" s="1" t="str">
        <v/>
      </c>
      <c r="O89" s="1" t="str">
        <v/>
      </c>
      <c r="P89" s="1" t="str">
        <v/>
      </c>
      <c r="Q89" s="1" t="str">
        <v/>
      </c>
      <c r="R89" s="1" t="str">
        <f>IF(Q89="","","Q"&amp;ROUNDUP(MONTH(Q89)/3,0)&amp;"-"&amp;YEAR(Q89))</f>
        <v/>
      </c>
      <c r="S89" s="1" t="str">
        <v>Identificado</v>
      </c>
      <c r="T89" s="1" t="str">
        <v/>
      </c>
      <c r="U89" s="1" t="str">
        <v/>
      </c>
      <c r="V89" s="1" t="str">
        <v/>
      </c>
      <c r="W89" s="1" t="str">
        <v>Media</v>
      </c>
      <c r="X89" s="1" t="str">
        <v/>
      </c>
      <c r="Y89" s="1" t="str">
        <v/>
      </c>
      <c r="Z89" s="1" t="str">
        <v>2026-07-08</v>
      </c>
      <c r="AA89" s="1" t="str">
        <v/>
      </c>
      <c r="AB89" s="1" t="str">
        <v/>
      </c>
      <c r="AC89" s="1" t="str">
        <v>Se compromete para el Q3</v>
      </c>
      <c r="AD89" s="1" t="str">
        <v/>
      </c>
      <c r="AE89" s="1" t="str">
        <v/>
      </c>
      <c r="AF89" s="1" t="str">
        <v/>
      </c>
      <c r="AG89" s="1" t="str">
        <v>En proceso</v>
      </c>
      <c r="AH89" s="1" t="str">
        <v>No iniciado</v>
      </c>
      <c r="AI89" s="1" t="str">
        <v/>
      </c>
      <c r="AJ89" s="1" t="str">
        <v/>
      </c>
      <c r="AK89" s="1" t="str">
        <v/>
      </c>
      <c r="AL89" s="1" t="str">
        <v/>
      </c>
    </row>
    <row r="90">
      <c r="A90" s="1" t="str">
        <v>HIST-0089</v>
      </c>
      <c r="B90" s="1" t="str">
        <v>D0053</v>
      </c>
      <c r="C90" s="1" t="str">
        <v>Plataforma de Integración</v>
      </c>
      <c r="D90" s="1" t="str">
        <v/>
      </c>
      <c r="E90" s="1" t="str">
        <v>Creación</v>
      </c>
      <c r="F90" s="1" t="str">
        <v/>
      </c>
      <c r="G90" s="1" t="str">
        <v/>
      </c>
      <c r="H90" s="1" t="str">
        <v/>
      </c>
      <c r="I90" s="1" t="str">
        <v/>
      </c>
      <c r="J90" s="1" t="str">
        <v/>
      </c>
      <c r="K90" s="1" t="str">
        <v>Edward Aviles Chabur</v>
      </c>
      <c r="L90" s="1" t="str">
        <v>App</v>
      </c>
      <c r="M90" s="1" t="str">
        <v>2026-03-30</v>
      </c>
      <c r="N90" s="1" t="str">
        <v/>
      </c>
      <c r="O90" s="1" t="str">
        <v/>
      </c>
      <c r="P90" s="1" t="str">
        <v/>
      </c>
      <c r="Q90" s="1" t="str">
        <v/>
      </c>
      <c r="R90" s="1" t="str">
        <f>IF(Q90="","","Q"&amp;ROUNDUP(MONTH(Q90)/3,0)&amp;"-"&amp;YEAR(Q90))</f>
        <v/>
      </c>
      <c r="S90" s="1" t="str">
        <v>Identificado</v>
      </c>
      <c r="T90" s="1" t="str">
        <v/>
      </c>
      <c r="U90" s="1" t="str">
        <v/>
      </c>
      <c r="V90" s="1" t="str">
        <v/>
      </c>
      <c r="W90" s="1" t="str">
        <v>Media</v>
      </c>
      <c r="X90" s="1" t="str">
        <v/>
      </c>
      <c r="Y90" s="1" t="str">
        <v/>
      </c>
      <c r="Z90" s="1" t="str">
        <v>2026-07-08</v>
      </c>
      <c r="AA90" s="1" t="str">
        <v/>
      </c>
      <c r="AB90" s="1" t="str">
        <v/>
      </c>
      <c r="AC90" s="1" t="str">
        <v>Se compromete para el Q3</v>
      </c>
      <c r="AD90" s="1" t="str">
        <v/>
      </c>
      <c r="AE90" s="1" t="str">
        <v/>
      </c>
      <c r="AF90" s="1" t="str">
        <v/>
      </c>
      <c r="AG90" s="1" t="str">
        <v>En proceso</v>
      </c>
      <c r="AH90" s="1" t="str">
        <v>No iniciado</v>
      </c>
      <c r="AI90" s="1" t="str">
        <v/>
      </c>
      <c r="AJ90" s="1" t="str">
        <v/>
      </c>
      <c r="AK90" s="1" t="str">
        <v/>
      </c>
      <c r="AL90" s="1" t="str">
        <v/>
      </c>
    </row>
    <row r="91">
      <c r="A91" s="1" t="str">
        <v>HIST-0090</v>
      </c>
      <c r="B91" s="1" t="str">
        <v>D0054</v>
      </c>
      <c r="C91" s="1" t="str">
        <v>Plataforma de Integración</v>
      </c>
      <c r="D91" s="1" t="str">
        <v/>
      </c>
      <c r="E91" s="1" t="str">
        <v>Creación</v>
      </c>
      <c r="F91" s="1" t="str">
        <v/>
      </c>
      <c r="G91" s="1" t="str">
        <v/>
      </c>
      <c r="H91" s="1" t="str">
        <v/>
      </c>
      <c r="I91" s="1" t="str">
        <v/>
      </c>
      <c r="J91" s="1" t="str">
        <v/>
      </c>
      <c r="K91" s="1" t="str">
        <v>Edward Aviles Chabur</v>
      </c>
      <c r="L91" s="1" t="str">
        <v>App</v>
      </c>
      <c r="M91" s="1" t="str">
        <v>2026-04-15</v>
      </c>
      <c r="N91" s="1" t="str">
        <v/>
      </c>
      <c r="O91" s="1" t="str">
        <v/>
      </c>
      <c r="P91" s="1" t="str">
        <v/>
      </c>
      <c r="Q91" s="1" t="str">
        <v/>
      </c>
      <c r="R91" s="1" t="str">
        <f>IF(Q91="","","Q"&amp;ROUNDUP(MONTH(Q91)/3,0)&amp;"-"&amp;YEAR(Q91))</f>
        <v/>
      </c>
      <c r="S91" s="1" t="str">
        <v>Diseño</v>
      </c>
      <c r="T91" s="1" t="str">
        <v/>
      </c>
      <c r="U91" s="1" t="str">
        <v/>
      </c>
      <c r="V91" s="1" t="str">
        <v/>
      </c>
      <c r="W91" s="1" t="str">
        <v>Baja</v>
      </c>
      <c r="X91" s="1" t="str">
        <v/>
      </c>
      <c r="Y91" s="1" t="str">
        <v/>
      </c>
      <c r="Z91" s="1" t="str">
        <v>2026-07-08</v>
      </c>
      <c r="AA91" s="1" t="str">
        <v/>
      </c>
      <c r="AB91" s="1" t="str">
        <v/>
      </c>
      <c r="AC91" s="1" t="str">
        <v>sin fecha de compromiso</v>
      </c>
      <c r="AD91" s="1" t="str">
        <v/>
      </c>
      <c r="AE91" s="1" t="str">
        <v/>
      </c>
      <c r="AF91" s="1" t="str">
        <v/>
      </c>
      <c r="AG91" s="1" t="str">
        <v>No iniciado</v>
      </c>
      <c r="AH91" s="1" t="str">
        <v>No iniciado</v>
      </c>
      <c r="AI91" s="1" t="str">
        <v/>
      </c>
      <c r="AJ91" s="1" t="str">
        <v/>
      </c>
      <c r="AK91" s="1" t="str">
        <v/>
      </c>
      <c r="AL91" s="1" t="str">
        <v/>
      </c>
    </row>
    <row r="92">
      <c r="A92" s="1" t="str">
        <v>HIST-0091</v>
      </c>
      <c r="B92" s="1" t="str">
        <v>D0055</v>
      </c>
      <c r="C92" s="1" t="str">
        <v>Plataforma de Integración</v>
      </c>
      <c r="D92" s="1" t="str">
        <v/>
      </c>
      <c r="E92" s="1" t="str">
        <v>Creación</v>
      </c>
      <c r="F92" s="1" t="str">
        <v/>
      </c>
      <c r="G92" s="1" t="str">
        <v/>
      </c>
      <c r="H92" s="1" t="str">
        <v/>
      </c>
      <c r="I92" s="1" t="str">
        <v/>
      </c>
      <c r="J92" s="1" t="str">
        <v/>
      </c>
      <c r="K92" s="1" t="str">
        <v>Edward Aviles Chabur</v>
      </c>
      <c r="L92" s="1" t="str">
        <v>App</v>
      </c>
      <c r="M92" s="1" t="str">
        <v>2026-04-15</v>
      </c>
      <c r="N92" s="1" t="str">
        <v/>
      </c>
      <c r="O92" s="1" t="str">
        <v/>
      </c>
      <c r="P92" s="1" t="str">
        <v/>
      </c>
      <c r="Q92" s="1" t="str">
        <v/>
      </c>
      <c r="R92" s="1" t="str">
        <f>IF(Q92="","","Q"&amp;ROUNDUP(MONTH(Q92)/3,0)&amp;"-"&amp;YEAR(Q92))</f>
        <v/>
      </c>
      <c r="S92" s="1" t="str">
        <v>Diseño</v>
      </c>
      <c r="T92" s="1" t="str">
        <v/>
      </c>
      <c r="U92" s="1" t="str">
        <v/>
      </c>
      <c r="V92" s="1" t="str">
        <v/>
      </c>
      <c r="W92" s="1" t="str">
        <v>Baja</v>
      </c>
      <c r="X92" s="1" t="str">
        <v/>
      </c>
      <c r="Y92" s="1" t="str">
        <v/>
      </c>
      <c r="Z92" s="1" t="str">
        <v>2026-07-08</v>
      </c>
      <c r="AA92" s="1" t="str">
        <v/>
      </c>
      <c r="AB92" s="1" t="str">
        <v/>
      </c>
      <c r="AC92" s="1" t="str">
        <v>sin fecha de compromiso</v>
      </c>
      <c r="AD92" s="1" t="str">
        <v/>
      </c>
      <c r="AE92" s="1" t="str">
        <v/>
      </c>
      <c r="AF92" s="1" t="str">
        <v/>
      </c>
      <c r="AG92" s="1" t="str">
        <v>No iniciado</v>
      </c>
      <c r="AH92" s="1" t="str">
        <v>No iniciado</v>
      </c>
      <c r="AI92" s="1" t="str">
        <v/>
      </c>
      <c r="AJ92" s="1" t="str">
        <v/>
      </c>
      <c r="AK92" s="1" t="str">
        <v/>
      </c>
      <c r="AL92" s="1" t="str">
        <v/>
      </c>
    </row>
    <row r="93">
      <c r="A93" s="1" t="str">
        <v>HIST-0092</v>
      </c>
      <c r="B93" s="1" t="str">
        <v>D0056</v>
      </c>
      <c r="C93" s="1" t="str">
        <v>Plataforma de Integración</v>
      </c>
      <c r="D93" s="1" t="str">
        <v/>
      </c>
      <c r="E93" s="1" t="str">
        <v>Creación</v>
      </c>
      <c r="F93" s="1" t="str">
        <v/>
      </c>
      <c r="G93" s="1" t="str">
        <v/>
      </c>
      <c r="H93" s="1" t="str">
        <v/>
      </c>
      <c r="I93" s="1" t="str">
        <v/>
      </c>
      <c r="J93" s="1" t="str">
        <v/>
      </c>
      <c r="K93" s="1" t="str">
        <v>Edward Aviles Chabur</v>
      </c>
      <c r="L93" s="1" t="str">
        <v>App</v>
      </c>
      <c r="M93" s="1" t="str">
        <v>2026-04-15</v>
      </c>
      <c r="N93" s="1" t="str">
        <v/>
      </c>
      <c r="O93" s="1" t="str">
        <v/>
      </c>
      <c r="P93" s="1" t="str">
        <v/>
      </c>
      <c r="Q93" s="1" t="str">
        <v/>
      </c>
      <c r="R93" s="1" t="str">
        <f>IF(Q93="","","Q"&amp;ROUNDUP(MONTH(Q93)/3,0)&amp;"-"&amp;YEAR(Q93))</f>
        <v/>
      </c>
      <c r="S93" s="1" t="str">
        <v>Diseño</v>
      </c>
      <c r="T93" s="1" t="str">
        <v/>
      </c>
      <c r="U93" s="1" t="str">
        <v/>
      </c>
      <c r="V93" s="1" t="str">
        <v/>
      </c>
      <c r="W93" s="1" t="str">
        <v>Baja</v>
      </c>
      <c r="X93" s="1" t="str">
        <v/>
      </c>
      <c r="Y93" s="1" t="str">
        <v/>
      </c>
      <c r="Z93" s="1" t="str">
        <v>2026-07-08</v>
      </c>
      <c r="AA93" s="1" t="str">
        <v/>
      </c>
      <c r="AB93" s="1" t="str">
        <v/>
      </c>
      <c r="AC93" s="1" t="str">
        <v>Se compromete para el Q3</v>
      </c>
      <c r="AD93" s="1" t="str">
        <v/>
      </c>
      <c r="AE93" s="1" t="str">
        <v/>
      </c>
      <c r="AF93" s="1" t="str">
        <v/>
      </c>
      <c r="AG93" s="1" t="str">
        <v>En proceso</v>
      </c>
      <c r="AH93" s="1" t="str">
        <v>No iniciado</v>
      </c>
      <c r="AI93" s="1" t="str">
        <v/>
      </c>
      <c r="AJ93" s="1" t="str">
        <v/>
      </c>
      <c r="AK93" s="1" t="str">
        <v/>
      </c>
      <c r="AL93" s="1" t="str">
        <v/>
      </c>
    </row>
    <row r="94">
      <c r="A94" s="1" t="str">
        <v>HIST-0093</v>
      </c>
      <c r="B94" s="1" t="str">
        <v>D0057</v>
      </c>
      <c r="C94" s="1" t="str">
        <v>Plataforma de Integración</v>
      </c>
      <c r="D94" s="1" t="str">
        <v/>
      </c>
      <c r="E94" s="1" t="str">
        <v>Creación</v>
      </c>
      <c r="F94" s="1" t="str">
        <v/>
      </c>
      <c r="G94" s="1" t="str">
        <v/>
      </c>
      <c r="H94" s="1" t="str">
        <v/>
      </c>
      <c r="I94" s="1" t="str">
        <v/>
      </c>
      <c r="J94" s="1" t="str">
        <v/>
      </c>
      <c r="K94" s="1" t="str">
        <v>Edward Aviles Chabur</v>
      </c>
      <c r="L94" s="1" t="str">
        <v>App</v>
      </c>
      <c r="M94" s="1" t="str">
        <v>2026-04-15</v>
      </c>
      <c r="N94" s="1" t="str">
        <v/>
      </c>
      <c r="O94" s="1" t="str">
        <v/>
      </c>
      <c r="P94" s="1" t="str">
        <v/>
      </c>
      <c r="Q94" s="1" t="str">
        <v/>
      </c>
      <c r="R94" s="1" t="str">
        <f>IF(Q94="","","Q"&amp;ROUNDUP(MONTH(Q94)/3,0)&amp;"-"&amp;YEAR(Q94))</f>
        <v/>
      </c>
      <c r="S94" s="1" t="str">
        <v>Diseño</v>
      </c>
      <c r="T94" s="1" t="str">
        <v/>
      </c>
      <c r="U94" s="1" t="str">
        <v/>
      </c>
      <c r="V94" s="1" t="str">
        <v/>
      </c>
      <c r="W94" s="1" t="str">
        <v>Baja</v>
      </c>
      <c r="X94" s="1" t="str">
        <v/>
      </c>
      <c r="Y94" s="1" t="str">
        <v/>
      </c>
      <c r="Z94" s="1" t="str">
        <v>2026-07-08</v>
      </c>
      <c r="AA94" s="1" t="str">
        <v/>
      </c>
      <c r="AB94" s="1" t="str">
        <v/>
      </c>
      <c r="AC94" s="1" t="str">
        <v>Se compromete para el Q3</v>
      </c>
      <c r="AD94" s="1" t="str">
        <v/>
      </c>
      <c r="AE94" s="1" t="str">
        <v/>
      </c>
      <c r="AF94" s="1" t="str">
        <v/>
      </c>
      <c r="AG94" s="1" t="str">
        <v>En proceso</v>
      </c>
      <c r="AH94" s="1" t="str">
        <v>No iniciado</v>
      </c>
      <c r="AI94" s="1" t="str">
        <v/>
      </c>
      <c r="AJ94" s="1" t="str">
        <v/>
      </c>
      <c r="AK94" s="1" t="str">
        <v/>
      </c>
      <c r="AL94" s="1" t="str">
        <v/>
      </c>
    </row>
    <row r="95">
      <c r="A95" s="1" t="str">
        <v>HIST-0094</v>
      </c>
      <c r="B95" s="1" t="str">
        <v>D0058</v>
      </c>
      <c r="C95" s="1" t="str">
        <v>Plataforma de Integración</v>
      </c>
      <c r="D95" s="1" t="str">
        <v/>
      </c>
      <c r="E95" s="1" t="str">
        <v>Creación</v>
      </c>
      <c r="F95" s="1" t="str">
        <v/>
      </c>
      <c r="G95" s="1" t="str">
        <v/>
      </c>
      <c r="H95" s="1" t="str">
        <v/>
      </c>
      <c r="I95" s="1" t="str">
        <v/>
      </c>
      <c r="J95" s="1" t="str">
        <v/>
      </c>
      <c r="K95" s="1" t="str">
        <v>Edward Aviles Chabur</v>
      </c>
      <c r="L95" s="1" t="str">
        <v>App</v>
      </c>
      <c r="M95" s="1" t="str">
        <v>2026-04-15</v>
      </c>
      <c r="N95" s="1" t="str">
        <v/>
      </c>
      <c r="O95" s="1" t="str">
        <v/>
      </c>
      <c r="P95" s="1" t="str">
        <v/>
      </c>
      <c r="Q95" s="1" t="str">
        <v/>
      </c>
      <c r="R95" s="1" t="str">
        <f>IF(Q95="","","Q"&amp;ROUNDUP(MONTH(Q95)/3,0)&amp;"-"&amp;YEAR(Q95))</f>
        <v/>
      </c>
      <c r="S95" s="1" t="str">
        <v>Diseño</v>
      </c>
      <c r="T95" s="1" t="str">
        <v/>
      </c>
      <c r="U95" s="1" t="str">
        <v/>
      </c>
      <c r="V95" s="1" t="str">
        <v/>
      </c>
      <c r="W95" s="1" t="str">
        <v>Baja</v>
      </c>
      <c r="X95" s="1" t="str">
        <v/>
      </c>
      <c r="Y95" s="1" t="str">
        <v/>
      </c>
      <c r="Z95" s="1" t="str">
        <v>2026-07-08</v>
      </c>
      <c r="AA95" s="1" t="str">
        <v/>
      </c>
      <c r="AB95" s="1" t="str">
        <v/>
      </c>
      <c r="AC95" s="1" t="str">
        <v>Se compromete para el Q3</v>
      </c>
      <c r="AD95" s="1" t="str">
        <v/>
      </c>
      <c r="AE95" s="1" t="str">
        <v/>
      </c>
      <c r="AF95" s="1" t="str">
        <v/>
      </c>
      <c r="AG95" s="1" t="str">
        <v>En proceso</v>
      </c>
      <c r="AH95" s="1" t="str">
        <v>No iniciado</v>
      </c>
      <c r="AI95" s="1" t="str">
        <v/>
      </c>
      <c r="AJ95" s="1" t="str">
        <v/>
      </c>
      <c r="AK95" s="1" t="str">
        <v/>
      </c>
      <c r="AL95" s="1" t="str">
        <v/>
      </c>
    </row>
    <row r="96">
      <c r="A96" s="1" t="str">
        <v>HIST-0095</v>
      </c>
      <c r="B96" s="1" t="str">
        <v>D0059</v>
      </c>
      <c r="C96" s="1" t="str">
        <v>Plataforma de Integración</v>
      </c>
      <c r="D96" s="1" t="str">
        <v/>
      </c>
      <c r="E96" s="1" t="str">
        <v>Creación</v>
      </c>
      <c r="F96" s="1" t="str">
        <v/>
      </c>
      <c r="G96" s="1" t="str">
        <v/>
      </c>
      <c r="H96" s="1" t="str">
        <v/>
      </c>
      <c r="I96" s="1" t="str">
        <v/>
      </c>
      <c r="J96" s="1" t="str">
        <v/>
      </c>
      <c r="K96" s="1" t="str">
        <v>Edward Aviles Chabur</v>
      </c>
      <c r="L96" s="1" t="str">
        <v>App</v>
      </c>
      <c r="M96" s="1" t="str">
        <v>2026-03-30</v>
      </c>
      <c r="N96" s="1" t="str">
        <v/>
      </c>
      <c r="O96" s="1" t="str">
        <v/>
      </c>
      <c r="P96" s="1" t="str">
        <v/>
      </c>
      <c r="Q96" s="1" t="str">
        <v/>
      </c>
      <c r="R96" s="1" t="str">
        <f>IF(Q96="","","Q"&amp;ROUNDUP(MONTH(Q96)/3,0)&amp;"-"&amp;YEAR(Q96))</f>
        <v/>
      </c>
      <c r="S96" s="1" t="str">
        <v>Identificado</v>
      </c>
      <c r="T96" s="1" t="str">
        <v/>
      </c>
      <c r="U96" s="1" t="str">
        <v/>
      </c>
      <c r="V96" s="1" t="str">
        <v/>
      </c>
      <c r="W96" s="1" t="str">
        <v>Media</v>
      </c>
      <c r="X96" s="1" t="str">
        <v/>
      </c>
      <c r="Y96" s="1" t="str">
        <v/>
      </c>
      <c r="Z96" s="1" t="str">
        <v>2026-07-08</v>
      </c>
      <c r="AA96" s="1" t="str">
        <v/>
      </c>
      <c r="AB96" s="1" t="str">
        <v/>
      </c>
      <c r="AC96" s="1" t="str">
        <v>BCRP se compromete para el Q3</v>
      </c>
      <c r="AD96" s="1" t="str">
        <v/>
      </c>
      <c r="AE96" s="1" t="str">
        <v/>
      </c>
      <c r="AF96" s="1" t="str">
        <v/>
      </c>
      <c r="AG96" s="1" t="str">
        <v>En proceso</v>
      </c>
      <c r="AH96" s="1" t="str">
        <v>No iniciado</v>
      </c>
      <c r="AI96" s="1" t="str">
        <v/>
      </c>
      <c r="AJ96" s="1" t="str">
        <v/>
      </c>
      <c r="AK96" s="1" t="str">
        <v/>
      </c>
      <c r="AL96" s="1" t="str">
        <v/>
      </c>
    </row>
    <row r="97">
      <c r="A97" s="1" t="str">
        <v>HIST-0096</v>
      </c>
      <c r="B97" s="1" t="str">
        <v>D0060</v>
      </c>
      <c r="C97" s="1" t="str">
        <v>Plataforma de Integración</v>
      </c>
      <c r="D97" s="1" t="str">
        <v/>
      </c>
      <c r="E97" s="1" t="str">
        <v>Creación</v>
      </c>
      <c r="F97" s="1" t="str">
        <v/>
      </c>
      <c r="G97" s="1" t="str">
        <v/>
      </c>
      <c r="H97" s="1" t="str">
        <v/>
      </c>
      <c r="I97" s="1" t="str">
        <v/>
      </c>
      <c r="J97" s="1" t="str">
        <v/>
      </c>
      <c r="K97" s="1" t="str">
        <v>Edward Aviles Chabur</v>
      </c>
      <c r="L97" s="1" t="str">
        <v>App</v>
      </c>
      <c r="M97" s="1" t="str">
        <v>2026-03-30</v>
      </c>
      <c r="N97" s="1" t="str">
        <v/>
      </c>
      <c r="O97" s="1" t="str">
        <v/>
      </c>
      <c r="P97" s="1" t="str">
        <v/>
      </c>
      <c r="Q97" s="1" t="str">
        <v/>
      </c>
      <c r="R97" s="1" t="str">
        <f>IF(Q97="","","Q"&amp;ROUNDUP(MONTH(Q97)/3,0)&amp;"-"&amp;YEAR(Q97))</f>
        <v/>
      </c>
      <c r="S97" s="1" t="str">
        <v>Identificado</v>
      </c>
      <c r="T97" s="1" t="str">
        <v/>
      </c>
      <c r="U97" s="1" t="str">
        <v/>
      </c>
      <c r="V97" s="1" t="str">
        <v/>
      </c>
      <c r="W97" s="1" t="str">
        <v>Media</v>
      </c>
      <c r="X97" s="1" t="str">
        <v/>
      </c>
      <c r="Y97" s="1" t="str">
        <v/>
      </c>
      <c r="Z97" s="1" t="str">
        <v>2026-07-08</v>
      </c>
      <c r="AA97" s="1" t="str">
        <v/>
      </c>
      <c r="AB97" s="1" t="str">
        <v/>
      </c>
      <c r="AC97" s="1" t="str">
        <v>Ya lo pasó Neobanco, la modificacion se compromete para el Q4</v>
      </c>
      <c r="AD97" s="1" t="str">
        <v/>
      </c>
      <c r="AE97" s="1" t="str">
        <v/>
      </c>
      <c r="AF97" s="1" t="str">
        <v/>
      </c>
      <c r="AG97" s="1" t="str">
        <v>No iniciado</v>
      </c>
      <c r="AH97" s="1" t="str">
        <v>No iniciado</v>
      </c>
      <c r="AI97" s="1" t="str">
        <v/>
      </c>
      <c r="AJ97" s="1" t="str">
        <v/>
      </c>
      <c r="AK97" s="1" t="str">
        <v/>
      </c>
      <c r="AL97" s="1" t="str">
        <v/>
      </c>
    </row>
    <row r="98">
      <c r="A98" s="1" t="str">
        <v>HIST-0097</v>
      </c>
      <c r="B98" s="1" t="str">
        <v>D0061</v>
      </c>
      <c r="C98" s="1" t="str">
        <v>Plataforma de Integración</v>
      </c>
      <c r="D98" s="1" t="str">
        <v/>
      </c>
      <c r="E98" s="1" t="str">
        <v>Creación</v>
      </c>
      <c r="F98" s="1" t="str">
        <v/>
      </c>
      <c r="G98" s="1" t="str">
        <v/>
      </c>
      <c r="H98" s="1" t="str">
        <v/>
      </c>
      <c r="I98" s="1" t="str">
        <v/>
      </c>
      <c r="J98" s="1" t="str">
        <v/>
      </c>
      <c r="K98" s="1" t="str">
        <v>Edward Aviles Chabur</v>
      </c>
      <c r="L98" s="1" t="str">
        <v>App</v>
      </c>
      <c r="M98" s="1" t="str">
        <v>2026-03-30</v>
      </c>
      <c r="N98" s="1" t="str">
        <v/>
      </c>
      <c r="O98" s="1" t="str">
        <v/>
      </c>
      <c r="P98" s="1" t="str">
        <v/>
      </c>
      <c r="Q98" s="1" t="str">
        <v/>
      </c>
      <c r="R98" s="1" t="str">
        <f>IF(Q98="","","Q"&amp;ROUNDUP(MONTH(Q98)/3,0)&amp;"-"&amp;YEAR(Q98))</f>
        <v/>
      </c>
      <c r="S98" s="1" t="str">
        <v>Identificado</v>
      </c>
      <c r="T98" s="1" t="str">
        <v/>
      </c>
      <c r="U98" s="1" t="str">
        <v/>
      </c>
      <c r="V98" s="1" t="str">
        <v/>
      </c>
      <c r="W98" s="1" t="str">
        <v>Baja</v>
      </c>
      <c r="X98" s="1" t="str">
        <v/>
      </c>
      <c r="Y98" s="1" t="str">
        <v/>
      </c>
      <c r="Z98" s="1" t="str">
        <v>2026-07-08</v>
      </c>
      <c r="AA98" s="1" t="str">
        <v/>
      </c>
      <c r="AB98" s="1" t="str">
        <v/>
      </c>
      <c r="AC98" s="1" t="str">
        <v>Ya lo pasó Neobanco, la modificacion se compromete para el Q4</v>
      </c>
      <c r="AD98" s="1" t="str">
        <v/>
      </c>
      <c r="AE98" s="1" t="str">
        <v/>
      </c>
      <c r="AF98" s="1" t="str">
        <v/>
      </c>
      <c r="AG98" s="1" t="str">
        <v>No iniciado</v>
      </c>
      <c r="AH98" s="1" t="str">
        <v>No iniciado</v>
      </c>
      <c r="AI98" s="1" t="str">
        <v/>
      </c>
      <c r="AJ98" s="1" t="str">
        <v/>
      </c>
      <c r="AK98" s="1" t="str">
        <v/>
      </c>
      <c r="AL98" s="1" t="str">
        <v/>
      </c>
    </row>
    <row r="99">
      <c r="A99" s="1" t="str">
        <v>HIST-0098</v>
      </c>
      <c r="B99" s="1" t="str">
        <v>D0062</v>
      </c>
      <c r="C99" s="1" t="str">
        <v>Plataforma de Integración</v>
      </c>
      <c r="D99" s="1" t="str">
        <v/>
      </c>
      <c r="E99" s="1" t="str">
        <v>Creación</v>
      </c>
      <c r="F99" s="1" t="str">
        <v/>
      </c>
      <c r="G99" s="1" t="str">
        <v/>
      </c>
      <c r="H99" s="1" t="str">
        <v/>
      </c>
      <c r="I99" s="1" t="str">
        <v/>
      </c>
      <c r="J99" s="1" t="str">
        <v/>
      </c>
      <c r="K99" s="1" t="str">
        <v>Edward Aviles Chabur</v>
      </c>
      <c r="L99" s="1" t="str">
        <v>App</v>
      </c>
      <c r="M99" s="1" t="str">
        <v>2026-03-30</v>
      </c>
      <c r="N99" s="1" t="str">
        <v/>
      </c>
      <c r="O99" s="1" t="str">
        <v/>
      </c>
      <c r="P99" s="1" t="str">
        <v/>
      </c>
      <c r="Q99" s="1" t="str">
        <v/>
      </c>
      <c r="R99" s="1" t="str">
        <f>IF(Q99="","","Q"&amp;ROUNDUP(MONTH(Q99)/3,0)&amp;"-"&amp;YEAR(Q99))</f>
        <v/>
      </c>
      <c r="S99" s="1" t="str">
        <v>Identificado</v>
      </c>
      <c r="T99" s="1" t="str">
        <v/>
      </c>
      <c r="U99" s="1" t="str">
        <v/>
      </c>
      <c r="V99" s="1" t="str">
        <v/>
      </c>
      <c r="W99" s="1" t="str">
        <v>Media</v>
      </c>
      <c r="X99" s="1" t="str">
        <v/>
      </c>
      <c r="Y99" s="1" t="str">
        <v/>
      </c>
      <c r="Z99" s="1" t="str">
        <v>2026-07-08</v>
      </c>
      <c r="AA99" s="1" t="str">
        <v/>
      </c>
      <c r="AB99" s="1" t="str">
        <v/>
      </c>
      <c r="AC99" s="1" t="str">
        <v>Se compromete para el Q4, deben coordinar con proyecto Interconexion (tambien lo tiene para el Q4)</v>
      </c>
      <c r="AD99" s="1" t="str">
        <v/>
      </c>
      <c r="AE99" s="1" t="str">
        <v/>
      </c>
      <c r="AF99" s="1" t="str">
        <v/>
      </c>
      <c r="AG99" s="1" t="str">
        <v>No iniciado</v>
      </c>
      <c r="AH99" s="1" t="str">
        <v>No iniciado</v>
      </c>
      <c r="AI99" s="1" t="str">
        <v/>
      </c>
      <c r="AJ99" s="1" t="str">
        <v/>
      </c>
      <c r="AK99" s="1" t="str">
        <v/>
      </c>
      <c r="AL99" s="1" t="str">
        <v/>
      </c>
    </row>
    <row r="100">
      <c r="A100" s="1" t="str">
        <v>HIST-0099</v>
      </c>
      <c r="B100" s="1" t="str">
        <v>D0063</v>
      </c>
      <c r="C100" s="1" t="str">
        <v>Plataforma de Integración</v>
      </c>
      <c r="D100" s="1" t="str">
        <v/>
      </c>
      <c r="E100" s="1" t="str">
        <v>Creación</v>
      </c>
      <c r="F100" s="1" t="str">
        <v/>
      </c>
      <c r="G100" s="1" t="str">
        <v/>
      </c>
      <c r="H100" s="1" t="str">
        <v/>
      </c>
      <c r="I100" s="1" t="str">
        <v/>
      </c>
      <c r="J100" s="1" t="str">
        <v/>
      </c>
      <c r="K100" s="1" t="str">
        <v>Edward Aviles Chabur</v>
      </c>
      <c r="L100" s="1" t="str">
        <v>App</v>
      </c>
      <c r="M100" s="1" t="str">
        <v>2026-04-15</v>
      </c>
      <c r="N100" s="1" t="str">
        <v/>
      </c>
      <c r="O100" s="1" t="str">
        <v/>
      </c>
      <c r="P100" s="1" t="str">
        <v/>
      </c>
      <c r="Q100" s="1" t="str">
        <v/>
      </c>
      <c r="R100" s="1" t="str">
        <f>IF(Q100="","","Q"&amp;ROUNDUP(MONTH(Q100)/3,0)&amp;"-"&amp;YEAR(Q100))</f>
        <v/>
      </c>
      <c r="S100" s="1" t="str">
        <v>Diseño</v>
      </c>
      <c r="T100" s="1" t="str">
        <v/>
      </c>
      <c r="U100" s="1" t="str">
        <v/>
      </c>
      <c r="V100" s="1" t="str">
        <v/>
      </c>
      <c r="W100" s="1" t="str">
        <v>Media</v>
      </c>
      <c r="X100" s="1" t="str">
        <v/>
      </c>
      <c r="Y100" s="1" t="str">
        <v/>
      </c>
      <c r="Z100" s="1" t="str">
        <v>2026-07-08</v>
      </c>
      <c r="AA100" s="1" t="str">
        <v/>
      </c>
      <c r="AB100" s="1" t="str">
        <v/>
      </c>
      <c r="AC100" s="1" t="str">
        <v>Se compromete para el Q4, deben coordinar con proyecto Interconexion (tambien lo tiene para el Q4)</v>
      </c>
      <c r="AD100" s="1" t="str">
        <v/>
      </c>
      <c r="AE100" s="1" t="str">
        <v/>
      </c>
      <c r="AF100" s="1" t="str">
        <v/>
      </c>
      <c r="AG100" s="1" t="str">
        <v>No iniciado</v>
      </c>
      <c r="AH100" s="1" t="str">
        <v>No iniciado</v>
      </c>
      <c r="AI100" s="1" t="str">
        <v/>
      </c>
      <c r="AJ100" s="1" t="str">
        <v/>
      </c>
      <c r="AK100" s="1" t="str">
        <v/>
      </c>
      <c r="AL100" s="1" t="str">
        <v/>
      </c>
    </row>
    <row r="101">
      <c r="A101" s="1" t="str">
        <v>HIST-0100</v>
      </c>
      <c r="B101" s="1" t="str">
        <v>D0064</v>
      </c>
      <c r="C101" s="1" t="str">
        <v>Plataforma de Integración</v>
      </c>
      <c r="D101" s="1" t="str">
        <v/>
      </c>
      <c r="E101" s="1" t="str">
        <v>Creación</v>
      </c>
      <c r="F101" s="1" t="str">
        <v/>
      </c>
      <c r="G101" s="1" t="str">
        <v/>
      </c>
      <c r="H101" s="1" t="str">
        <v/>
      </c>
      <c r="I101" s="1" t="str">
        <v/>
      </c>
      <c r="J101" s="1" t="str">
        <v/>
      </c>
      <c r="K101" s="1" t="str">
        <v>Edward Aviles Chabur</v>
      </c>
      <c r="L101" s="1" t="str">
        <v>App</v>
      </c>
      <c r="M101" s="1" t="str">
        <v>2026-03-30</v>
      </c>
      <c r="N101" s="1" t="str">
        <v/>
      </c>
      <c r="O101" s="1" t="str">
        <v/>
      </c>
      <c r="P101" s="1" t="str">
        <v/>
      </c>
      <c r="Q101" s="1" t="str">
        <v/>
      </c>
      <c r="R101" s="1" t="str">
        <f>IF(Q101="","","Q"&amp;ROUNDUP(MONTH(Q101)/3,0)&amp;"-"&amp;YEAR(Q101))</f>
        <v/>
      </c>
      <c r="S101" s="1" t="str">
        <v>Identificado</v>
      </c>
      <c r="T101" s="1" t="str">
        <v/>
      </c>
      <c r="U101" s="1" t="str">
        <v/>
      </c>
      <c r="V101" s="1" t="str">
        <v/>
      </c>
      <c r="W101" s="1" t="str">
        <v>Alta</v>
      </c>
      <c r="X101" s="1" t="str">
        <v/>
      </c>
      <c r="Y101" s="1" t="str">
        <v/>
      </c>
      <c r="Z101" s="1" t="str">
        <v>2026-07-08</v>
      </c>
      <c r="AA101" s="1" t="str">
        <v/>
      </c>
      <c r="AB101" s="1" t="str">
        <v/>
      </c>
      <c r="AC101" s="1" t="str">
        <v>Se ha acordado que primero lo entrega NCD, y la modificacion se compromete para el Q4</v>
      </c>
      <c r="AD101" s="1" t="str">
        <v/>
      </c>
      <c r="AE101" s="1" t="str">
        <v/>
      </c>
      <c r="AF101" s="1" t="str">
        <v/>
      </c>
      <c r="AG101" s="1" t="str">
        <v>No iniciado</v>
      </c>
      <c r="AH101" s="1" t="str">
        <v>No iniciado</v>
      </c>
      <c r="AI101" s="1" t="str">
        <v/>
      </c>
      <c r="AJ101" s="1" t="str">
        <v/>
      </c>
      <c r="AK101" s="1" t="str">
        <v/>
      </c>
      <c r="AL101" s="1" t="str">
        <v/>
      </c>
    </row>
    <row r="102">
      <c r="A102" s="1" t="str">
        <v>HIST-0101</v>
      </c>
      <c r="B102" s="1" t="str">
        <v>D0065</v>
      </c>
      <c r="C102" s="1" t="str">
        <v>Plataforma de Integración</v>
      </c>
      <c r="D102" s="1" t="str">
        <v/>
      </c>
      <c r="E102" s="1" t="str">
        <v>Creación</v>
      </c>
      <c r="F102" s="1" t="str">
        <v/>
      </c>
      <c r="G102" s="1" t="str">
        <v/>
      </c>
      <c r="H102" s="1" t="str">
        <v/>
      </c>
      <c r="I102" s="1" t="str">
        <v/>
      </c>
      <c r="J102" s="1" t="str">
        <v/>
      </c>
      <c r="K102" s="1" t="str">
        <v>Edward Aviles Chabur</v>
      </c>
      <c r="L102" s="1" t="str">
        <v>App</v>
      </c>
      <c r="M102" s="1" t="str">
        <v>2026-03-30</v>
      </c>
      <c r="N102" s="1" t="str">
        <v/>
      </c>
      <c r="O102" s="1" t="str">
        <v/>
      </c>
      <c r="P102" s="1" t="str">
        <v/>
      </c>
      <c r="Q102" s="1" t="str">
        <v/>
      </c>
      <c r="R102" s="1" t="str">
        <f>IF(Q102="","","Q"&amp;ROUNDUP(MONTH(Q102)/3,0)&amp;"-"&amp;YEAR(Q102))</f>
        <v/>
      </c>
      <c r="S102" s="1" t="str">
        <v>Identificado</v>
      </c>
      <c r="T102" s="1" t="str">
        <v/>
      </c>
      <c r="U102" s="1" t="str">
        <v/>
      </c>
      <c r="V102" s="1" t="str">
        <v/>
      </c>
      <c r="W102" s="1" t="str">
        <v>Baja</v>
      </c>
      <c r="X102" s="1" t="str">
        <v/>
      </c>
      <c r="Y102" s="1" t="str">
        <v/>
      </c>
      <c r="Z102" s="1" t="str">
        <v>2026-07-08</v>
      </c>
      <c r="AA102" s="1" t="str">
        <v/>
      </c>
      <c r="AB102" s="1" t="str">
        <v/>
      </c>
      <c r="AC102" s="1" t="str">
        <v>Se compromete para el Q4</v>
      </c>
      <c r="AD102" s="1" t="str">
        <v/>
      </c>
      <c r="AE102" s="1" t="str">
        <v/>
      </c>
      <c r="AF102" s="1" t="str">
        <v/>
      </c>
      <c r="AG102" s="1" t="str">
        <v>No iniciado</v>
      </c>
      <c r="AH102" s="1" t="str">
        <v>No iniciado</v>
      </c>
      <c r="AI102" s="1" t="str">
        <v/>
      </c>
      <c r="AJ102" s="1" t="str">
        <v/>
      </c>
      <c r="AK102" s="1" t="str">
        <v/>
      </c>
      <c r="AL102" s="1" t="str">
        <v/>
      </c>
    </row>
    <row r="103">
      <c r="A103" s="1" t="str">
        <v>HIST-0102</v>
      </c>
      <c r="B103" s="1" t="str">
        <v>D0066</v>
      </c>
      <c r="C103" s="1" t="str">
        <v>Plataforma de Integración</v>
      </c>
      <c r="D103" s="1" t="str">
        <v/>
      </c>
      <c r="E103" s="1" t="str">
        <v>Creación</v>
      </c>
      <c r="F103" s="1" t="str">
        <v/>
      </c>
      <c r="G103" s="1" t="str">
        <v/>
      </c>
      <c r="H103" s="1" t="str">
        <v/>
      </c>
      <c r="I103" s="1" t="str">
        <v/>
      </c>
      <c r="J103" s="1" t="str">
        <v/>
      </c>
      <c r="K103" s="1" t="str">
        <v>Edward Aviles Chabur</v>
      </c>
      <c r="L103" s="1" t="str">
        <v>App</v>
      </c>
      <c r="M103" s="1" t="str">
        <v>2026-03-30</v>
      </c>
      <c r="N103" s="1" t="str">
        <v/>
      </c>
      <c r="O103" s="1" t="str">
        <v/>
      </c>
      <c r="P103" s="1" t="str">
        <v/>
      </c>
      <c r="Q103" s="1" t="str">
        <v/>
      </c>
      <c r="R103" s="1" t="str">
        <f>IF(Q103="","","Q"&amp;ROUNDUP(MONTH(Q103)/3,0)&amp;"-"&amp;YEAR(Q103))</f>
        <v/>
      </c>
      <c r="S103" s="1" t="str">
        <v>Identificado</v>
      </c>
      <c r="T103" s="1" t="str">
        <v/>
      </c>
      <c r="U103" s="1" t="str">
        <v/>
      </c>
      <c r="V103" s="1" t="str">
        <v/>
      </c>
      <c r="W103" s="1" t="str">
        <v>Alta</v>
      </c>
      <c r="X103" s="1" t="str">
        <v/>
      </c>
      <c r="Y103" s="1" t="str">
        <v/>
      </c>
      <c r="Z103" s="1" t="str">
        <v/>
      </c>
      <c r="AA103" s="1" t="str">
        <v/>
      </c>
      <c r="AB103" s="1" t="str">
        <v/>
      </c>
      <c r="AC103" s="1" t="str">
        <v/>
      </c>
      <c r="AD103" s="1" t="str">
        <v/>
      </c>
      <c r="AE103" s="1" t="str">
        <v/>
      </c>
      <c r="AF103" s="1" t="str">
        <v/>
      </c>
      <c r="AG103" s="1" t="str">
        <v/>
      </c>
      <c r="AH103" s="1" t="str">
        <v/>
      </c>
      <c r="AI103" s="1" t="str">
        <v/>
      </c>
      <c r="AJ103" s="1" t="str">
        <v/>
      </c>
      <c r="AK103" s="1" t="str">
        <v/>
      </c>
      <c r="AL103" s="1" t="str">
        <v/>
      </c>
    </row>
    <row r="104">
      <c r="A104" s="1" t="str">
        <v>HIST-0103</v>
      </c>
      <c r="B104" s="1" t="str">
        <v>D0067</v>
      </c>
      <c r="C104" s="1" t="str">
        <v>Plataforma de Integración</v>
      </c>
      <c r="D104" s="1" t="str">
        <v/>
      </c>
      <c r="E104" s="1" t="str">
        <v>Creación</v>
      </c>
      <c r="F104" s="1" t="str">
        <v/>
      </c>
      <c r="G104" s="1" t="str">
        <v/>
      </c>
      <c r="H104" s="1" t="str">
        <v/>
      </c>
      <c r="I104" s="1" t="str">
        <v/>
      </c>
      <c r="J104" s="1" t="str">
        <v/>
      </c>
      <c r="K104" s="1" t="str">
        <v>Edward Aviles Chabur</v>
      </c>
      <c r="L104" s="1" t="str">
        <v>App</v>
      </c>
      <c r="M104" s="1" t="str">
        <v>2026-03-30</v>
      </c>
      <c r="N104" s="1" t="str">
        <v/>
      </c>
      <c r="O104" s="1" t="str">
        <v/>
      </c>
      <c r="P104" s="1" t="str">
        <v/>
      </c>
      <c r="Q104" s="1" t="str">
        <v/>
      </c>
      <c r="R104" s="1" t="str">
        <f>IF(Q104="","","Q"&amp;ROUNDUP(MONTH(Q104)/3,0)&amp;"-"&amp;YEAR(Q104))</f>
        <v/>
      </c>
      <c r="S104" s="1" t="str">
        <v>Identificado</v>
      </c>
      <c r="T104" s="1" t="str">
        <v/>
      </c>
      <c r="U104" s="1" t="str">
        <v/>
      </c>
      <c r="V104" s="1" t="str">
        <v/>
      </c>
      <c r="W104" s="1" t="str">
        <v>Alta</v>
      </c>
      <c r="X104" s="1" t="str">
        <v/>
      </c>
      <c r="Y104" s="1" t="str">
        <v/>
      </c>
      <c r="Z104" s="1" t="str">
        <v/>
      </c>
      <c r="AA104" s="1" t="str">
        <v/>
      </c>
      <c r="AB104" s="1" t="str">
        <v/>
      </c>
      <c r="AC104" s="1" t="str">
        <v/>
      </c>
      <c r="AD104" s="1" t="str">
        <v/>
      </c>
      <c r="AE104" s="1" t="str">
        <v/>
      </c>
      <c r="AF104" s="1" t="str">
        <v/>
      </c>
      <c r="AG104" s="1" t="str">
        <v/>
      </c>
      <c r="AH104" s="1" t="str">
        <v/>
      </c>
      <c r="AI104" s="1" t="str">
        <v/>
      </c>
      <c r="AJ104" s="1" t="str">
        <v/>
      </c>
      <c r="AK104" s="1" t="str">
        <v/>
      </c>
      <c r="AL104" s="1" t="str">
        <v/>
      </c>
    </row>
    <row r="105">
      <c r="A105" s="1" t="str">
        <v>HIST-0104</v>
      </c>
      <c r="B105" s="1" t="str">
        <v>D0068</v>
      </c>
      <c r="C105" s="1" t="str">
        <v>Plataforma de Integración</v>
      </c>
      <c r="D105" s="1" t="str">
        <v/>
      </c>
      <c r="E105" s="1" t="str">
        <v>Creación</v>
      </c>
      <c r="F105" s="1" t="str">
        <v/>
      </c>
      <c r="G105" s="1" t="str">
        <v/>
      </c>
      <c r="H105" s="1" t="str">
        <v/>
      </c>
      <c r="I105" s="1" t="str">
        <v/>
      </c>
      <c r="J105" s="1" t="str">
        <v/>
      </c>
      <c r="K105" s="1" t="str">
        <v>Edward Aviles Chabur</v>
      </c>
      <c r="L105" s="1" t="str">
        <v>App</v>
      </c>
      <c r="M105" s="1" t="str">
        <v>2026-03-30</v>
      </c>
      <c r="N105" s="1" t="str">
        <v/>
      </c>
      <c r="O105" s="1" t="str">
        <v/>
      </c>
      <c r="P105" s="1" t="str">
        <v/>
      </c>
      <c r="Q105" s="1" t="str">
        <v/>
      </c>
      <c r="R105" s="1" t="str">
        <f>IF(Q105="","","Q"&amp;ROUNDUP(MONTH(Q105)/3,0)&amp;"-"&amp;YEAR(Q105))</f>
        <v/>
      </c>
      <c r="S105" s="1" t="str">
        <v>Identificado</v>
      </c>
      <c r="T105" s="1" t="str">
        <v/>
      </c>
      <c r="U105" s="1" t="str">
        <v/>
      </c>
      <c r="V105" s="1" t="str">
        <v/>
      </c>
      <c r="W105" s="1" t="str">
        <v>Alta</v>
      </c>
      <c r="X105" s="1" t="str">
        <v/>
      </c>
      <c r="Y105" s="1" t="str">
        <v/>
      </c>
      <c r="Z105" s="1" t="str">
        <v/>
      </c>
      <c r="AA105" s="1" t="str">
        <v/>
      </c>
      <c r="AB105" s="1" t="str">
        <v/>
      </c>
      <c r="AC105" s="1" t="str">
        <v/>
      </c>
      <c r="AD105" s="1" t="str">
        <v/>
      </c>
      <c r="AE105" s="1" t="str">
        <v/>
      </c>
      <c r="AF105" s="1" t="str">
        <v/>
      </c>
      <c r="AG105" s="1" t="str">
        <v/>
      </c>
      <c r="AH105" s="1" t="str">
        <v/>
      </c>
      <c r="AI105" s="1" t="str">
        <v/>
      </c>
      <c r="AJ105" s="1" t="str">
        <v/>
      </c>
      <c r="AK105" s="1" t="str">
        <v/>
      </c>
      <c r="AL105" s="1" t="str">
        <v/>
      </c>
    </row>
    <row r="106">
      <c r="A106" s="1" t="str">
        <v>HIST-0105</v>
      </c>
      <c r="B106" s="1" t="str">
        <v>D0069</v>
      </c>
      <c r="C106" s="1" t="str">
        <v>Plataforma de Integración</v>
      </c>
      <c r="D106" s="1" t="str">
        <v/>
      </c>
      <c r="E106" s="1" t="str">
        <v>Creación</v>
      </c>
      <c r="F106" s="1" t="str">
        <v/>
      </c>
      <c r="G106" s="1" t="str">
        <v/>
      </c>
      <c r="H106" s="1" t="str">
        <v/>
      </c>
      <c r="I106" s="1" t="str">
        <v/>
      </c>
      <c r="J106" s="1" t="str">
        <v/>
      </c>
      <c r="K106" s="1" t="str">
        <v>Edward Aviles Chabur</v>
      </c>
      <c r="L106" s="1" t="str">
        <v>App</v>
      </c>
      <c r="M106" s="1" t="str">
        <v>2026-03-30</v>
      </c>
      <c r="N106" s="1" t="str">
        <v/>
      </c>
      <c r="O106" s="1" t="str">
        <v/>
      </c>
      <c r="P106" s="1" t="str">
        <v/>
      </c>
      <c r="Q106" s="1" t="str">
        <v/>
      </c>
      <c r="R106" s="1" t="str">
        <f>IF(Q106="","","Q"&amp;ROUNDUP(MONTH(Q106)/3,0)&amp;"-"&amp;YEAR(Q106))</f>
        <v/>
      </c>
      <c r="S106" s="1" t="str">
        <v>Identificado</v>
      </c>
      <c r="T106" s="1" t="str">
        <v/>
      </c>
      <c r="U106" s="1" t="str">
        <v/>
      </c>
      <c r="V106" s="1" t="str">
        <v/>
      </c>
      <c r="W106" s="1" t="str">
        <v>Alta</v>
      </c>
      <c r="X106" s="1" t="str">
        <v/>
      </c>
      <c r="Y106" s="1" t="str">
        <v/>
      </c>
      <c r="Z106" s="1" t="str">
        <v/>
      </c>
      <c r="AA106" s="1" t="str">
        <v/>
      </c>
      <c r="AB106" s="1" t="str">
        <v/>
      </c>
      <c r="AC106" s="1" t="str">
        <v/>
      </c>
      <c r="AD106" s="1" t="str">
        <v/>
      </c>
      <c r="AE106" s="1" t="str">
        <v/>
      </c>
      <c r="AF106" s="1" t="str">
        <v/>
      </c>
      <c r="AG106" s="1" t="str">
        <v/>
      </c>
      <c r="AH106" s="1" t="str">
        <v/>
      </c>
      <c r="AI106" s="1" t="str">
        <v/>
      </c>
      <c r="AJ106" s="1" t="str">
        <v/>
      </c>
      <c r="AK106" s="1" t="str">
        <v/>
      </c>
      <c r="AL106" s="1" t="str">
        <v/>
      </c>
    </row>
    <row r="107">
      <c r="A107" s="1" t="str">
        <v>HIST-0106</v>
      </c>
      <c r="B107" s="1" t="str">
        <v>D0070</v>
      </c>
      <c r="C107" s="1" t="str">
        <v>Plataforma de Integración</v>
      </c>
      <c r="D107" s="1" t="str">
        <v/>
      </c>
      <c r="E107" s="1" t="str">
        <v>Creación</v>
      </c>
      <c r="F107" s="1" t="str">
        <v/>
      </c>
      <c r="G107" s="1" t="str">
        <v/>
      </c>
      <c r="H107" s="1" t="str">
        <v/>
      </c>
      <c r="I107" s="1" t="str">
        <v/>
      </c>
      <c r="J107" s="1" t="str">
        <v/>
      </c>
      <c r="K107" s="1" t="str">
        <v>Edward Aviles Chabur</v>
      </c>
      <c r="L107" s="1" t="str">
        <v>App</v>
      </c>
      <c r="M107" s="1" t="str">
        <v>2026-03-30</v>
      </c>
      <c r="N107" s="1" t="str">
        <v/>
      </c>
      <c r="O107" s="1" t="str">
        <v/>
      </c>
      <c r="P107" s="1" t="str">
        <v/>
      </c>
      <c r="Q107" s="1" t="str">
        <v/>
      </c>
      <c r="R107" s="1" t="str">
        <f>IF(Q107="","","Q"&amp;ROUNDUP(MONTH(Q107)/3,0)&amp;"-"&amp;YEAR(Q107))</f>
        <v/>
      </c>
      <c r="S107" s="1" t="str">
        <v>Identificado</v>
      </c>
      <c r="T107" s="1" t="str">
        <v/>
      </c>
      <c r="U107" s="1" t="str">
        <v/>
      </c>
      <c r="V107" s="1" t="str">
        <v/>
      </c>
      <c r="W107" s="1" t="str">
        <v>Alta</v>
      </c>
      <c r="X107" s="1" t="str">
        <v/>
      </c>
      <c r="Y107" s="1" t="str">
        <v/>
      </c>
      <c r="Z107" s="1" t="str">
        <v>2026-07-09</v>
      </c>
      <c r="AA107" s="1" t="str">
        <v/>
      </c>
      <c r="AB107" s="1" t="str">
        <v/>
      </c>
      <c r="AC107" s="1" t="str">
        <v>Diseño terminado, se planifica entregar en el Q4</v>
      </c>
      <c r="AD107" s="1" t="str">
        <v/>
      </c>
      <c r="AE107" s="1" t="str">
        <v/>
      </c>
      <c r="AF107" s="1" t="str">
        <v/>
      </c>
      <c r="AG107" s="1" t="str">
        <v>No iniciado</v>
      </c>
      <c r="AH107" s="1" t="str">
        <v/>
      </c>
      <c r="AI107" s="1" t="str">
        <v/>
      </c>
      <c r="AJ107" s="1" t="str">
        <v/>
      </c>
      <c r="AK107" s="1" t="str">
        <v/>
      </c>
      <c r="AL107" s="1" t="str">
        <v/>
      </c>
    </row>
    <row r="108">
      <c r="A108" s="1" t="str">
        <v>HIST-0107</v>
      </c>
      <c r="B108" s="1" t="str">
        <v>D0071</v>
      </c>
      <c r="C108" s="1" t="str">
        <v>Plataforma de Integración</v>
      </c>
      <c r="D108" s="1" t="str">
        <v/>
      </c>
      <c r="E108" s="1" t="str">
        <v>Creación</v>
      </c>
      <c r="F108" s="1" t="str">
        <v/>
      </c>
      <c r="G108" s="1" t="str">
        <v/>
      </c>
      <c r="H108" s="1" t="str">
        <v/>
      </c>
      <c r="I108" s="1" t="str">
        <v/>
      </c>
      <c r="J108" s="1" t="str">
        <v/>
      </c>
      <c r="K108" s="1" t="str">
        <v>Edward Aviles Chabur</v>
      </c>
      <c r="L108" s="1" t="str">
        <v>App</v>
      </c>
      <c r="M108" s="1" t="str">
        <v>2026-03-30</v>
      </c>
      <c r="N108" s="1" t="str">
        <v/>
      </c>
      <c r="O108" s="1" t="str">
        <v/>
      </c>
      <c r="P108" s="1" t="str">
        <v/>
      </c>
      <c r="Q108" s="1" t="str">
        <v/>
      </c>
      <c r="R108" s="1" t="str">
        <f>IF(Q108="","","Q"&amp;ROUNDUP(MONTH(Q108)/3,0)&amp;"-"&amp;YEAR(Q108))</f>
        <v/>
      </c>
      <c r="S108" s="1" t="str">
        <v>Identificado</v>
      </c>
      <c r="T108" s="1" t="str">
        <v/>
      </c>
      <c r="U108" s="1" t="str">
        <v/>
      </c>
      <c r="V108" s="1" t="str">
        <v/>
      </c>
      <c r="W108" s="1" t="str">
        <v>Baja</v>
      </c>
      <c r="X108" s="1" t="str">
        <v/>
      </c>
      <c r="Y108" s="1" t="str">
        <v/>
      </c>
      <c r="Z108" s="1" t="str">
        <v>2026-07-09</v>
      </c>
      <c r="AA108" s="1" t="str">
        <v/>
      </c>
      <c r="AB108" s="1" t="str">
        <v/>
      </c>
      <c r="AC108" s="1" t="str">
        <v>Diseño terminado, se planifica entregar en el Q4</v>
      </c>
      <c r="AD108" s="1" t="str">
        <v/>
      </c>
      <c r="AE108" s="1" t="str">
        <v/>
      </c>
      <c r="AF108" s="1" t="str">
        <v/>
      </c>
      <c r="AG108" s="1" t="str">
        <v>No iniciado</v>
      </c>
      <c r="AH108" s="1" t="str">
        <v/>
      </c>
      <c r="AI108" s="1" t="str">
        <v/>
      </c>
      <c r="AJ108" s="1" t="str">
        <v/>
      </c>
      <c r="AK108" s="1" t="str">
        <v/>
      </c>
      <c r="AL108" s="1" t="str">
        <v/>
      </c>
    </row>
    <row r="109">
      <c r="A109" s="1" t="str">
        <v>HIST-0108</v>
      </c>
      <c r="B109" s="1" t="str">
        <v>D0072</v>
      </c>
      <c r="C109" s="1" t="str">
        <v>Plataforma de Integración</v>
      </c>
      <c r="D109" s="1" t="str">
        <v/>
      </c>
      <c r="E109" s="1" t="str">
        <v>Creación</v>
      </c>
      <c r="F109" s="1" t="str">
        <v/>
      </c>
      <c r="G109" s="1" t="str">
        <v/>
      </c>
      <c r="H109" s="1" t="str">
        <v/>
      </c>
      <c r="I109" s="1" t="str">
        <v/>
      </c>
      <c r="J109" s="1" t="str">
        <v/>
      </c>
      <c r="K109" s="1" t="str">
        <v>Edward Aviles Chabur</v>
      </c>
      <c r="L109" s="1" t="str">
        <v>App</v>
      </c>
      <c r="M109" s="1" t="str">
        <v>2026-03-30</v>
      </c>
      <c r="N109" s="1" t="str">
        <v/>
      </c>
      <c r="O109" s="1" t="str">
        <v/>
      </c>
      <c r="P109" s="1" t="str">
        <v/>
      </c>
      <c r="Q109" s="1" t="str">
        <v/>
      </c>
      <c r="R109" s="1" t="str">
        <f>IF(Q109="","","Q"&amp;ROUNDUP(MONTH(Q109)/3,0)&amp;"-"&amp;YEAR(Q109))</f>
        <v/>
      </c>
      <c r="S109" s="1" t="str">
        <v>Identificado</v>
      </c>
      <c r="T109" s="1" t="str">
        <v/>
      </c>
      <c r="U109" s="1" t="str">
        <v/>
      </c>
      <c r="V109" s="1" t="str">
        <v/>
      </c>
      <c r="W109" s="1" t="str">
        <v>Alta</v>
      </c>
      <c r="X109" s="1" t="str">
        <v/>
      </c>
      <c r="Y109" s="1" t="str">
        <v/>
      </c>
      <c r="Z109" s="1" t="str">
        <v>2026-07-09</v>
      </c>
      <c r="AA109" s="1" t="str">
        <v/>
      </c>
      <c r="AB109" s="1" t="str">
        <v/>
      </c>
      <c r="AC109" s="1" t="str">
        <v>Diseño terminado, se planifica entregar en el Q4</v>
      </c>
      <c r="AD109" s="1" t="str">
        <v/>
      </c>
      <c r="AE109" s="1" t="str">
        <v/>
      </c>
      <c r="AF109" s="1" t="str">
        <v/>
      </c>
      <c r="AG109" s="1" t="str">
        <v>No iniciado</v>
      </c>
      <c r="AH109" s="1" t="str">
        <v/>
      </c>
      <c r="AI109" s="1" t="str">
        <v/>
      </c>
      <c r="AJ109" s="1" t="str">
        <v/>
      </c>
      <c r="AK109" s="1" t="str">
        <v/>
      </c>
      <c r="AL109" s="1" t="str">
        <v/>
      </c>
    </row>
    <row r="110">
      <c r="A110" s="1" t="str">
        <v>HIST-0109</v>
      </c>
      <c r="B110" s="1" t="str">
        <v>D0073</v>
      </c>
      <c r="C110" s="1" t="str">
        <v>Plataforma de Integración</v>
      </c>
      <c r="D110" s="1" t="str">
        <v/>
      </c>
      <c r="E110" s="1" t="str">
        <v>Creación</v>
      </c>
      <c r="F110" s="1" t="str">
        <v/>
      </c>
      <c r="G110" s="1" t="str">
        <v/>
      </c>
      <c r="H110" s="1" t="str">
        <v/>
      </c>
      <c r="I110" s="1" t="str">
        <v/>
      </c>
      <c r="J110" s="1" t="str">
        <v/>
      </c>
      <c r="K110" s="1" t="str">
        <v>Edward Aviles Chabur</v>
      </c>
      <c r="L110" s="1" t="str">
        <v>App</v>
      </c>
      <c r="M110" s="1" t="str">
        <v>2026-03-30</v>
      </c>
      <c r="N110" s="1" t="str">
        <v/>
      </c>
      <c r="O110" s="1" t="str">
        <v/>
      </c>
      <c r="P110" s="1" t="str">
        <v/>
      </c>
      <c r="Q110" s="1" t="str">
        <v/>
      </c>
      <c r="R110" s="1" t="str">
        <f>IF(Q110="","","Q"&amp;ROUNDUP(MONTH(Q110)/3,0)&amp;"-"&amp;YEAR(Q110))</f>
        <v/>
      </c>
      <c r="S110" s="1" t="str">
        <v>Identificado</v>
      </c>
      <c r="T110" s="1" t="str">
        <v/>
      </c>
      <c r="U110" s="1" t="str">
        <v/>
      </c>
      <c r="V110" s="1" t="str">
        <v/>
      </c>
      <c r="W110" s="1" t="str">
        <v>Media</v>
      </c>
      <c r="X110" s="1" t="str">
        <v/>
      </c>
      <c r="Y110" s="1" t="str">
        <v/>
      </c>
      <c r="Z110" s="1" t="str">
        <v>2026-07-09</v>
      </c>
      <c r="AA110" s="1" t="str">
        <v/>
      </c>
      <c r="AB110" s="1" t="str">
        <v/>
      </c>
      <c r="AC110" s="1" t="str">
        <v>Diseño terminado, se planifica entregar en el Q4</v>
      </c>
      <c r="AD110" s="1" t="str">
        <v/>
      </c>
      <c r="AE110" s="1" t="str">
        <v/>
      </c>
      <c r="AF110" s="1" t="str">
        <v/>
      </c>
      <c r="AG110" s="1" t="str">
        <v>No iniciado</v>
      </c>
      <c r="AH110" s="1" t="str">
        <v/>
      </c>
      <c r="AI110" s="1" t="str">
        <v/>
      </c>
      <c r="AJ110" s="1" t="str">
        <v/>
      </c>
      <c r="AK110" s="1" t="str">
        <v/>
      </c>
      <c r="AL110" s="1" t="str">
        <v/>
      </c>
    </row>
    <row r="111">
      <c r="A111" s="1" t="str">
        <v>HIST-0110</v>
      </c>
      <c r="B111" s="1" t="str">
        <v>D0074</v>
      </c>
      <c r="C111" s="1" t="str">
        <v>Plataforma de Integración</v>
      </c>
      <c r="D111" s="1" t="str">
        <v/>
      </c>
      <c r="E111" s="1" t="str">
        <v>Creación</v>
      </c>
      <c r="F111" s="1" t="str">
        <v/>
      </c>
      <c r="G111" s="1" t="str">
        <v/>
      </c>
      <c r="H111" s="1" t="str">
        <v/>
      </c>
      <c r="I111" s="1" t="str">
        <v/>
      </c>
      <c r="J111" s="1" t="str">
        <v/>
      </c>
      <c r="K111" s="1" t="str">
        <v>Edward Aviles Chabur</v>
      </c>
      <c r="L111" s="1" t="str">
        <v>App</v>
      </c>
      <c r="M111" s="1" t="str">
        <v>2026-03-30</v>
      </c>
      <c r="N111" s="1" t="str">
        <v/>
      </c>
      <c r="O111" s="1" t="str">
        <v/>
      </c>
      <c r="P111" s="1" t="str">
        <v/>
      </c>
      <c r="Q111" s="1" t="str">
        <v/>
      </c>
      <c r="R111" s="1" t="str">
        <f>IF(Q111="","","Q"&amp;ROUNDUP(MONTH(Q111)/3,0)&amp;"-"&amp;YEAR(Q111))</f>
        <v/>
      </c>
      <c r="S111" s="1" t="str">
        <v>Identificado</v>
      </c>
      <c r="T111" s="1" t="str">
        <v/>
      </c>
      <c r="U111" s="1" t="str">
        <v/>
      </c>
      <c r="V111" s="1" t="str">
        <v/>
      </c>
      <c r="W111" s="1" t="str">
        <v>Media</v>
      </c>
      <c r="X111" s="1" t="str">
        <v/>
      </c>
      <c r="Y111" s="1" t="str">
        <v/>
      </c>
      <c r="Z111" s="1" t="str">
        <v/>
      </c>
      <c r="AA111" s="1" t="str">
        <v/>
      </c>
      <c r="AB111" s="1" t="str">
        <v/>
      </c>
      <c r="AC111" s="1" t="str">
        <v/>
      </c>
      <c r="AD111" s="1" t="str">
        <v/>
      </c>
      <c r="AE111" s="1" t="str">
        <v/>
      </c>
      <c r="AF111" s="1" t="str">
        <v/>
      </c>
      <c r="AG111" s="1" t="str">
        <v/>
      </c>
      <c r="AH111" s="1" t="str">
        <v/>
      </c>
      <c r="AI111" s="1" t="str">
        <v/>
      </c>
      <c r="AJ111" s="1" t="str">
        <v/>
      </c>
      <c r="AK111" s="1" t="str">
        <v/>
      </c>
      <c r="AL111" s="1" t="str">
        <v/>
      </c>
    </row>
    <row r="112">
      <c r="A112" s="1" t="str">
        <v>HIST-0111</v>
      </c>
      <c r="B112" s="1" t="str">
        <v>D0075</v>
      </c>
      <c r="C112" s="1" t="str">
        <v>Plataforma de Integración</v>
      </c>
      <c r="D112" s="1" t="str">
        <v/>
      </c>
      <c r="E112" s="1" t="str">
        <v>Creación</v>
      </c>
      <c r="F112" s="1" t="str">
        <v/>
      </c>
      <c r="G112" s="1" t="str">
        <v/>
      </c>
      <c r="H112" s="1" t="str">
        <v/>
      </c>
      <c r="I112" s="1" t="str">
        <v/>
      </c>
      <c r="J112" s="1" t="str">
        <v/>
      </c>
      <c r="K112" s="1" t="str">
        <v>Edward Aviles Chabur</v>
      </c>
      <c r="L112" s="1" t="str">
        <v>App</v>
      </c>
      <c r="M112" s="1" t="str">
        <v>2026-03-30</v>
      </c>
      <c r="N112" s="1" t="str">
        <v/>
      </c>
      <c r="O112" s="1" t="str">
        <v/>
      </c>
      <c r="P112" s="1" t="str">
        <v/>
      </c>
      <c r="Q112" s="1" t="str">
        <v/>
      </c>
      <c r="R112" s="1" t="str">
        <f>IF(Q112="","","Q"&amp;ROUNDUP(MONTH(Q112)/3,0)&amp;"-"&amp;YEAR(Q112))</f>
        <v/>
      </c>
      <c r="S112" s="1" t="str">
        <v>Identificado</v>
      </c>
      <c r="T112" s="1" t="str">
        <v/>
      </c>
      <c r="U112" s="1" t="str">
        <v/>
      </c>
      <c r="V112" s="1" t="str">
        <v/>
      </c>
      <c r="W112" s="1" t="str">
        <v>Media</v>
      </c>
      <c r="X112" s="1" t="str">
        <v/>
      </c>
      <c r="Y112" s="1" t="str">
        <v/>
      </c>
      <c r="Z112" s="1" t="str">
        <v/>
      </c>
      <c r="AA112" s="1" t="str">
        <v/>
      </c>
      <c r="AB112" s="1" t="str">
        <v/>
      </c>
      <c r="AC112" s="1" t="str">
        <v/>
      </c>
      <c r="AD112" s="1" t="str">
        <v/>
      </c>
      <c r="AE112" s="1" t="str">
        <v/>
      </c>
      <c r="AF112" s="1" t="str">
        <v/>
      </c>
      <c r="AG112" s="1" t="str">
        <v/>
      </c>
      <c r="AH112" s="1" t="str">
        <v/>
      </c>
      <c r="AI112" s="1" t="str">
        <v/>
      </c>
      <c r="AJ112" s="1" t="str">
        <v/>
      </c>
      <c r="AK112" s="1" t="str">
        <v/>
      </c>
      <c r="AL112" s="1" t="str">
        <v/>
      </c>
    </row>
    <row r="113">
      <c r="A113" s="1" t="str">
        <v>HIST-0112</v>
      </c>
      <c r="B113" s="1" t="str">
        <v>D0076</v>
      </c>
      <c r="C113" s="1" t="str">
        <v>Plataforma de Integración</v>
      </c>
      <c r="D113" s="1" t="str">
        <v/>
      </c>
      <c r="E113" s="1" t="str">
        <v>Creación</v>
      </c>
      <c r="F113" s="1" t="str">
        <v/>
      </c>
      <c r="G113" s="1" t="str">
        <v/>
      </c>
      <c r="H113" s="1" t="str">
        <v/>
      </c>
      <c r="I113" s="1" t="str">
        <v/>
      </c>
      <c r="J113" s="1" t="str">
        <v/>
      </c>
      <c r="K113" s="1" t="str">
        <v>Edward Aviles Chabur</v>
      </c>
      <c r="L113" s="1" t="str">
        <v>App</v>
      </c>
      <c r="M113" s="1" t="str">
        <v>2026-03-30</v>
      </c>
      <c r="N113" s="1" t="str">
        <v/>
      </c>
      <c r="O113" s="1" t="str">
        <v/>
      </c>
      <c r="P113" s="1" t="str">
        <v/>
      </c>
      <c r="Q113" s="1" t="str">
        <v/>
      </c>
      <c r="R113" s="1" t="str">
        <f>IF(Q113="","","Q"&amp;ROUNDUP(MONTH(Q113)/3,0)&amp;"-"&amp;YEAR(Q113))</f>
        <v/>
      </c>
      <c r="S113" s="1" t="str">
        <v>Identificado</v>
      </c>
      <c r="T113" s="1" t="str">
        <v/>
      </c>
      <c r="U113" s="1" t="str">
        <v/>
      </c>
      <c r="V113" s="1" t="str">
        <v/>
      </c>
      <c r="W113" s="1" t="str">
        <v>Media</v>
      </c>
      <c r="X113" s="1" t="str">
        <v/>
      </c>
      <c r="Y113" s="1" t="str">
        <v/>
      </c>
      <c r="Z113" s="1" t="str">
        <v/>
      </c>
      <c r="AA113" s="1" t="str">
        <v/>
      </c>
      <c r="AB113" s="1" t="str">
        <v/>
      </c>
      <c r="AC113" s="1" t="str">
        <v/>
      </c>
      <c r="AD113" s="1" t="str">
        <v/>
      </c>
      <c r="AE113" s="1" t="str">
        <v/>
      </c>
      <c r="AF113" s="1" t="str">
        <v/>
      </c>
      <c r="AG113" s="1" t="str">
        <v/>
      </c>
      <c r="AH113" s="1" t="str">
        <v/>
      </c>
      <c r="AI113" s="1" t="str">
        <v/>
      </c>
      <c r="AJ113" s="1" t="str">
        <v/>
      </c>
      <c r="AK113" s="1" t="str">
        <v/>
      </c>
      <c r="AL113" s="1" t="str">
        <v/>
      </c>
    </row>
    <row r="114">
      <c r="A114" s="1" t="str">
        <v>HIST-0113</v>
      </c>
      <c r="B114" s="1" t="str">
        <v>D0077</v>
      </c>
      <c r="C114" s="1" t="str">
        <v>Plataforma de Integración</v>
      </c>
      <c r="D114" s="1" t="str">
        <v/>
      </c>
      <c r="E114" s="1" t="str">
        <v>Creación</v>
      </c>
      <c r="F114" s="1" t="str">
        <v/>
      </c>
      <c r="G114" s="1" t="str">
        <v/>
      </c>
      <c r="H114" s="1" t="str">
        <v/>
      </c>
      <c r="I114" s="1" t="str">
        <v/>
      </c>
      <c r="J114" s="1" t="str">
        <v/>
      </c>
      <c r="K114" s="1" t="str">
        <v>Edward Aviles Chabur</v>
      </c>
      <c r="L114" s="1" t="str">
        <v>App</v>
      </c>
      <c r="M114" s="1" t="str">
        <v>2026-03-30</v>
      </c>
      <c r="N114" s="1" t="str">
        <v/>
      </c>
      <c r="O114" s="1" t="str">
        <v/>
      </c>
      <c r="P114" s="1" t="str">
        <v/>
      </c>
      <c r="Q114" s="1" t="str">
        <v/>
      </c>
      <c r="R114" s="1" t="str">
        <f>IF(Q114="","","Q"&amp;ROUNDUP(MONTH(Q114)/3,0)&amp;"-"&amp;YEAR(Q114))</f>
        <v/>
      </c>
      <c r="S114" s="1" t="str">
        <v>Identificado</v>
      </c>
      <c r="T114" s="1" t="str">
        <v/>
      </c>
      <c r="U114" s="1" t="str">
        <v/>
      </c>
      <c r="V114" s="1" t="str">
        <v/>
      </c>
      <c r="W114" s="1" t="str">
        <v>Alta</v>
      </c>
      <c r="X114" s="1" t="str">
        <v/>
      </c>
      <c r="Y114" s="1" t="str">
        <v/>
      </c>
      <c r="Z114" s="1" t="str">
        <v/>
      </c>
      <c r="AA114" s="1" t="str">
        <v/>
      </c>
      <c r="AB114" s="1" t="str">
        <v/>
      </c>
      <c r="AC114" s="1" t="str">
        <v/>
      </c>
      <c r="AD114" s="1" t="str">
        <v/>
      </c>
      <c r="AE114" s="1" t="str">
        <v/>
      </c>
      <c r="AF114" s="1" t="str">
        <v/>
      </c>
      <c r="AG114" s="1" t="str">
        <v/>
      </c>
      <c r="AH114" s="1" t="str">
        <v/>
      </c>
      <c r="AI114" s="1" t="str">
        <v/>
      </c>
      <c r="AJ114" s="1" t="str">
        <v/>
      </c>
      <c r="AK114" s="1" t="str">
        <v/>
      </c>
      <c r="AL114" s="1" t="str">
        <v/>
      </c>
    </row>
    <row r="115">
      <c r="A115" s="1" t="str">
        <v>HIST-0114</v>
      </c>
      <c r="B115" s="1" t="str">
        <v>D0078</v>
      </c>
      <c r="C115" s="1" t="str">
        <v>Plataforma de Integración</v>
      </c>
      <c r="D115" s="1" t="str">
        <v/>
      </c>
      <c r="E115" s="1" t="str">
        <v>Creación</v>
      </c>
      <c r="F115" s="1" t="str">
        <v/>
      </c>
      <c r="G115" s="1" t="str">
        <v/>
      </c>
      <c r="H115" s="1" t="str">
        <v/>
      </c>
      <c r="I115" s="1" t="str">
        <v/>
      </c>
      <c r="J115" s="1" t="str">
        <v/>
      </c>
      <c r="K115" s="1" t="str">
        <v>Edward Aviles Chabur</v>
      </c>
      <c r="L115" s="1" t="str">
        <v>App</v>
      </c>
      <c r="M115" s="1" t="str">
        <v>2026-03-30</v>
      </c>
      <c r="N115" s="1" t="str">
        <v/>
      </c>
      <c r="O115" s="1" t="str">
        <v/>
      </c>
      <c r="P115" s="1" t="str">
        <v/>
      </c>
      <c r="Q115" s="1" t="str">
        <v/>
      </c>
      <c r="R115" s="1" t="str">
        <f>IF(Q115="","","Q"&amp;ROUNDUP(MONTH(Q115)/3,0)&amp;"-"&amp;YEAR(Q115))</f>
        <v/>
      </c>
      <c r="S115" s="1" t="str">
        <v>Identificado</v>
      </c>
      <c r="T115" s="1" t="str">
        <v/>
      </c>
      <c r="U115" s="1" t="str">
        <v/>
      </c>
      <c r="V115" s="1" t="str">
        <v/>
      </c>
      <c r="W115" s="1" t="str">
        <v>Media</v>
      </c>
      <c r="X115" s="1" t="str">
        <v/>
      </c>
      <c r="Y115" s="1" t="str">
        <v/>
      </c>
      <c r="Z115" s="1" t="str">
        <v/>
      </c>
      <c r="AA115" s="1" t="str">
        <v/>
      </c>
      <c r="AB115" s="1" t="str">
        <v/>
      </c>
      <c r="AC115" s="1" t="str">
        <v/>
      </c>
      <c r="AD115" s="1" t="str">
        <v/>
      </c>
      <c r="AE115" s="1" t="str">
        <v/>
      </c>
      <c r="AF115" s="1" t="str">
        <v/>
      </c>
      <c r="AG115" s="1" t="str">
        <v/>
      </c>
      <c r="AH115" s="1" t="str">
        <v/>
      </c>
      <c r="AI115" s="1" t="str">
        <v/>
      </c>
      <c r="AJ115" s="1" t="str">
        <v/>
      </c>
      <c r="AK115" s="1" t="str">
        <v/>
      </c>
      <c r="AL115" s="1" t="str">
        <v/>
      </c>
    </row>
    <row r="116">
      <c r="A116" s="1" t="str">
        <v>HIST-0115</v>
      </c>
      <c r="B116" s="1" t="str">
        <v>D0079</v>
      </c>
      <c r="C116" s="1" t="str">
        <v>Plataforma de Integración</v>
      </c>
      <c r="D116" s="1" t="str">
        <v/>
      </c>
      <c r="E116" s="1" t="str">
        <v>Creación</v>
      </c>
      <c r="F116" s="1" t="str">
        <v/>
      </c>
      <c r="G116" s="1" t="str">
        <v/>
      </c>
      <c r="H116" s="1" t="str">
        <v/>
      </c>
      <c r="I116" s="1" t="str">
        <v/>
      </c>
      <c r="J116" s="1" t="str">
        <v/>
      </c>
      <c r="K116" s="1" t="str">
        <v>Edward Aviles Chabur</v>
      </c>
      <c r="L116" s="1" t="str">
        <v>App</v>
      </c>
      <c r="M116" s="1" t="str">
        <v>2026-03-30</v>
      </c>
      <c r="N116" s="1" t="str">
        <v/>
      </c>
      <c r="O116" s="1" t="str">
        <v/>
      </c>
      <c r="P116" s="1" t="str">
        <v/>
      </c>
      <c r="Q116" s="1" t="str">
        <v/>
      </c>
      <c r="R116" s="1" t="str">
        <f>IF(Q116="","","Q"&amp;ROUNDUP(MONTH(Q116)/3,0)&amp;"-"&amp;YEAR(Q116))</f>
        <v/>
      </c>
      <c r="S116" s="1" t="str">
        <v>Identificado</v>
      </c>
      <c r="T116" s="1" t="str">
        <v/>
      </c>
      <c r="U116" s="1" t="str">
        <v/>
      </c>
      <c r="V116" s="1" t="str">
        <v/>
      </c>
      <c r="W116" s="1" t="str">
        <v>Media</v>
      </c>
      <c r="X116" s="1" t="str">
        <v/>
      </c>
      <c r="Y116" s="1" t="str">
        <v/>
      </c>
      <c r="Z116" s="1" t="str">
        <v>2026-07-08</v>
      </c>
      <c r="AA116" s="1" t="str">
        <v/>
      </c>
      <c r="AB116" s="1" t="str">
        <v/>
      </c>
      <c r="AC116" s="1" t="str">
        <v>Interconexion lo entrega en el Q3, probablemente Urpi Pro lo modifique para el Q4, Confirmar Planificación con TTL Carlos Solano</v>
      </c>
      <c r="AD116" s="1" t="str">
        <v/>
      </c>
      <c r="AE116" s="1" t="str">
        <v/>
      </c>
      <c r="AF116" s="1" t="str">
        <v/>
      </c>
      <c r="AG116" s="1" t="str">
        <v>No iniciado</v>
      </c>
      <c r="AH116" s="1" t="str">
        <v/>
      </c>
      <c r="AI116" s="1" t="str">
        <v/>
      </c>
      <c r="AJ116" s="1" t="str">
        <v/>
      </c>
      <c r="AK116" s="1" t="str">
        <v/>
      </c>
      <c r="AL116" s="1" t="str">
        <v/>
      </c>
    </row>
    <row r="117">
      <c r="A117" s="1" t="str">
        <v>HIST-0116</v>
      </c>
      <c r="B117" s="1" t="str">
        <v>D0080</v>
      </c>
      <c r="C117" s="1" t="str">
        <v>Plataforma de Integración</v>
      </c>
      <c r="D117" s="1" t="str">
        <v/>
      </c>
      <c r="E117" s="1" t="str">
        <v>Creación</v>
      </c>
      <c r="F117" s="1" t="str">
        <v/>
      </c>
      <c r="G117" s="1" t="str">
        <v/>
      </c>
      <c r="H117" s="1" t="str">
        <v/>
      </c>
      <c r="I117" s="1" t="str">
        <v/>
      </c>
      <c r="J117" s="1" t="str">
        <v/>
      </c>
      <c r="K117" s="1" t="str">
        <v>Edward Aviles Chabur</v>
      </c>
      <c r="L117" s="1" t="str">
        <v>App</v>
      </c>
      <c r="M117" s="1" t="str">
        <v>2026-03-30</v>
      </c>
      <c r="N117" s="1" t="str">
        <v/>
      </c>
      <c r="O117" s="1" t="str">
        <v/>
      </c>
      <c r="P117" s="1" t="str">
        <v/>
      </c>
      <c r="Q117" s="1" t="str">
        <v/>
      </c>
      <c r="R117" s="1" t="str">
        <f>IF(Q117="","","Q"&amp;ROUNDUP(MONTH(Q117)/3,0)&amp;"-"&amp;YEAR(Q117))</f>
        <v/>
      </c>
      <c r="S117" s="1" t="str">
        <v>Identificado</v>
      </c>
      <c r="T117" s="1" t="str">
        <v/>
      </c>
      <c r="U117" s="1" t="str">
        <v/>
      </c>
      <c r="V117" s="1" t="str">
        <v/>
      </c>
      <c r="W117" s="1" t="str">
        <v>Alta</v>
      </c>
      <c r="X117" s="1" t="str">
        <v/>
      </c>
      <c r="Y117" s="1" t="str">
        <v/>
      </c>
      <c r="Z117" s="1" t="str">
        <v>2026-07-08</v>
      </c>
      <c r="AA117" s="1" t="str">
        <v/>
      </c>
      <c r="AB117" s="1" t="str">
        <v/>
      </c>
      <c r="AC117" s="1" t="str">
        <v>Confirmar Planificación con TTL Carlos Solano o Edwin Suarez</v>
      </c>
      <c r="AD117" s="1" t="str">
        <v/>
      </c>
      <c r="AE117" s="1" t="str">
        <v/>
      </c>
      <c r="AF117" s="1" t="str">
        <v/>
      </c>
      <c r="AG117" s="1" t="str">
        <v>No iniciado</v>
      </c>
      <c r="AH117" s="1" t="str">
        <v/>
      </c>
      <c r="AI117" s="1" t="str">
        <v/>
      </c>
      <c r="AJ117" s="1" t="str">
        <v/>
      </c>
      <c r="AK117" s="1" t="str">
        <v/>
      </c>
      <c r="AL117" s="1" t="str">
        <v/>
      </c>
    </row>
    <row r="118">
      <c r="A118" s="1" t="str">
        <v>HIST-0117</v>
      </c>
      <c r="B118" s="1" t="str">
        <v>D0081</v>
      </c>
      <c r="C118" s="1" t="str">
        <v>Plataforma de Integración</v>
      </c>
      <c r="D118" s="1" t="str">
        <v/>
      </c>
      <c r="E118" s="1" t="str">
        <v>Creación</v>
      </c>
      <c r="F118" s="1" t="str">
        <v/>
      </c>
      <c r="G118" s="1" t="str">
        <v/>
      </c>
      <c r="H118" s="1" t="str">
        <v/>
      </c>
      <c r="I118" s="1" t="str">
        <v/>
      </c>
      <c r="J118" s="1" t="str">
        <v/>
      </c>
      <c r="K118" s="1" t="str">
        <v>Edward Aviles Chabur</v>
      </c>
      <c r="L118" s="1" t="str">
        <v>App</v>
      </c>
      <c r="M118" s="1" t="str">
        <v>2026-03-30</v>
      </c>
      <c r="N118" s="1" t="str">
        <v/>
      </c>
      <c r="O118" s="1" t="str">
        <v/>
      </c>
      <c r="P118" s="1" t="str">
        <v/>
      </c>
      <c r="Q118" s="1" t="str">
        <v/>
      </c>
      <c r="R118" s="1" t="str">
        <f>IF(Q118="","","Q"&amp;ROUNDUP(MONTH(Q118)/3,0)&amp;"-"&amp;YEAR(Q118))</f>
        <v/>
      </c>
      <c r="S118" s="1" t="str">
        <v>Identificado</v>
      </c>
      <c r="T118" s="1" t="str">
        <v/>
      </c>
      <c r="U118" s="1" t="str">
        <v/>
      </c>
      <c r="V118" s="1" t="str">
        <v/>
      </c>
      <c r="W118" s="1" t="str">
        <v>Alta</v>
      </c>
      <c r="X118" s="1" t="str">
        <v/>
      </c>
      <c r="Y118" s="1" t="str">
        <v/>
      </c>
      <c r="Z118" s="1" t="str">
        <v>2026-07-08</v>
      </c>
      <c r="AA118" s="1" t="str">
        <v/>
      </c>
      <c r="AB118" s="1" t="str">
        <v/>
      </c>
      <c r="AC118" s="1" t="str">
        <v>Confirmar Planificación con TTL Carlos Solano o Edwin Suarez</v>
      </c>
      <c r="AD118" s="1" t="str">
        <v/>
      </c>
      <c r="AE118" s="1" t="str">
        <v/>
      </c>
      <c r="AF118" s="1" t="str">
        <v/>
      </c>
      <c r="AG118" s="1" t="str">
        <v>No iniciado</v>
      </c>
      <c r="AH118" s="1" t="str">
        <v/>
      </c>
      <c r="AI118" s="1" t="str">
        <v/>
      </c>
      <c r="AJ118" s="1" t="str">
        <v/>
      </c>
      <c r="AK118" s="1" t="str">
        <v/>
      </c>
      <c r="AL118" s="1" t="str">
        <v/>
      </c>
    </row>
    <row r="119">
      <c r="A119" s="1" t="str">
        <v>HIST-0118</v>
      </c>
      <c r="B119" s="1" t="str">
        <v>D0082</v>
      </c>
      <c r="C119" s="1" t="str">
        <v>Plataforma de Integración</v>
      </c>
      <c r="D119" s="1" t="str">
        <v/>
      </c>
      <c r="E119" s="1" t="str">
        <v>Creación</v>
      </c>
      <c r="F119" s="1" t="str">
        <v/>
      </c>
      <c r="G119" s="1" t="str">
        <v/>
      </c>
      <c r="H119" s="1" t="str">
        <v/>
      </c>
      <c r="I119" s="1" t="str">
        <v/>
      </c>
      <c r="J119" s="1" t="str">
        <v/>
      </c>
      <c r="K119" s="1" t="str">
        <v>Edward Aviles Chabur</v>
      </c>
      <c r="L119" s="1" t="str">
        <v>App</v>
      </c>
      <c r="M119" s="1" t="str">
        <v>2026-03-30</v>
      </c>
      <c r="N119" s="1" t="str">
        <v/>
      </c>
      <c r="O119" s="1" t="str">
        <v/>
      </c>
      <c r="P119" s="1" t="str">
        <v/>
      </c>
      <c r="Q119" s="1" t="str">
        <v/>
      </c>
      <c r="R119" s="1" t="str">
        <f>IF(Q119="","","Q"&amp;ROUNDUP(MONTH(Q119)/3,0)&amp;"-"&amp;YEAR(Q119))</f>
        <v/>
      </c>
      <c r="S119" s="1" t="str">
        <v>Identificado</v>
      </c>
      <c r="T119" s="1" t="str">
        <v/>
      </c>
      <c r="U119" s="1" t="str">
        <v/>
      </c>
      <c r="V119" s="1" t="str">
        <v/>
      </c>
      <c r="W119" s="1" t="str">
        <v>Alta</v>
      </c>
      <c r="X119" s="1" t="str">
        <v/>
      </c>
      <c r="Y119" s="1" t="str">
        <v/>
      </c>
      <c r="Z119" s="1" t="str">
        <v>2026-07-08</v>
      </c>
      <c r="AA119" s="1" t="str">
        <v/>
      </c>
      <c r="AB119" s="1" t="str">
        <v/>
      </c>
      <c r="AC119" s="1" t="str">
        <v>Desestimado</v>
      </c>
      <c r="AD119" s="1" t="str">
        <v/>
      </c>
      <c r="AE119" s="1" t="str">
        <v/>
      </c>
      <c r="AF119" s="1" t="str">
        <v/>
      </c>
      <c r="AG119" s="1" t="str">
        <v/>
      </c>
      <c r="AH119" s="1" t="str">
        <v/>
      </c>
      <c r="AI119" s="1" t="str">
        <v/>
      </c>
      <c r="AJ119" s="1" t="str">
        <v/>
      </c>
      <c r="AK119" s="1" t="str">
        <v/>
      </c>
      <c r="AL119" s="1" t="str">
        <v/>
      </c>
    </row>
    <row r="120">
      <c r="A120" s="1" t="str">
        <v>HIST-0119</v>
      </c>
      <c r="B120" s="1" t="str">
        <v>D0083</v>
      </c>
      <c r="C120" s="1" t="str">
        <v>Plataforma de Integración</v>
      </c>
      <c r="D120" s="1" t="str">
        <v/>
      </c>
      <c r="E120" s="1" t="str">
        <v>Creación</v>
      </c>
      <c r="F120" s="1" t="str">
        <v/>
      </c>
      <c r="G120" s="1" t="str">
        <v/>
      </c>
      <c r="H120" s="1" t="str">
        <v/>
      </c>
      <c r="I120" s="1" t="str">
        <v/>
      </c>
      <c r="J120" s="1" t="str">
        <v/>
      </c>
      <c r="K120" s="1" t="str">
        <v>Edward Aviles Chabur</v>
      </c>
      <c r="L120" s="1" t="str">
        <v>App</v>
      </c>
      <c r="M120" s="1" t="str">
        <v>2026-03-30</v>
      </c>
      <c r="N120" s="1" t="str">
        <v/>
      </c>
      <c r="O120" s="1" t="str">
        <v/>
      </c>
      <c r="P120" s="1" t="str">
        <v/>
      </c>
      <c r="Q120" s="1" t="str">
        <v/>
      </c>
      <c r="R120" s="1" t="str">
        <f>IF(Q120="","","Q"&amp;ROUNDUP(MONTH(Q120)/3,0)&amp;"-"&amp;YEAR(Q120))</f>
        <v/>
      </c>
      <c r="S120" s="1" t="str">
        <v>Identificado</v>
      </c>
      <c r="T120" s="1" t="str">
        <v/>
      </c>
      <c r="U120" s="1" t="str">
        <v/>
      </c>
      <c r="V120" s="1" t="str">
        <v/>
      </c>
      <c r="W120" s="1" t="str">
        <v>Media</v>
      </c>
      <c r="X120" s="1" t="str">
        <v/>
      </c>
      <c r="Y120" s="1" t="str">
        <v/>
      </c>
      <c r="Z120" s="1" t="str">
        <v>2026-07-08</v>
      </c>
      <c r="AA120" s="1" t="str">
        <v/>
      </c>
      <c r="AB120" s="1" t="str">
        <v/>
      </c>
      <c r="AC120" s="1" t="str">
        <v>Desestimado, Neobanco lo entregó en el Q1</v>
      </c>
      <c r="AD120" s="1" t="str">
        <v/>
      </c>
      <c r="AE120" s="1" t="str">
        <v/>
      </c>
      <c r="AF120" s="1" t="str">
        <v/>
      </c>
      <c r="AG120" s="1" t="str">
        <v/>
      </c>
      <c r="AH120" s="1" t="str">
        <v/>
      </c>
      <c r="AI120" s="1" t="str">
        <v/>
      </c>
      <c r="AJ120" s="1" t="str">
        <v/>
      </c>
      <c r="AK120" s="1" t="str">
        <v/>
      </c>
      <c r="AL120" s="1" t="str">
        <v/>
      </c>
    </row>
    <row r="121">
      <c r="A121" s="1" t="str">
        <v>HIST-0120</v>
      </c>
      <c r="B121" s="1" t="str">
        <v>D0084</v>
      </c>
      <c r="C121" s="1" t="str">
        <v>Plataforma de Integración</v>
      </c>
      <c r="D121" s="1" t="str">
        <v/>
      </c>
      <c r="E121" s="1" t="str">
        <v>Creación</v>
      </c>
      <c r="F121" s="1" t="str">
        <v/>
      </c>
      <c r="G121" s="1" t="str">
        <v/>
      </c>
      <c r="H121" s="1" t="str">
        <v/>
      </c>
      <c r="I121" s="1" t="str">
        <v/>
      </c>
      <c r="J121" s="1" t="str">
        <v/>
      </c>
      <c r="K121" s="1" t="str">
        <v>Edward Aviles Chabur</v>
      </c>
      <c r="L121" s="1" t="str">
        <v>App</v>
      </c>
      <c r="M121" s="1" t="str">
        <v>2026-03-30</v>
      </c>
      <c r="N121" s="1" t="str">
        <v/>
      </c>
      <c r="O121" s="1" t="str">
        <v/>
      </c>
      <c r="P121" s="1" t="str">
        <v/>
      </c>
      <c r="Q121" s="1" t="str">
        <v/>
      </c>
      <c r="R121" s="1" t="str">
        <f>IF(Q121="","","Q"&amp;ROUNDUP(MONTH(Q121)/3,0)&amp;"-"&amp;YEAR(Q121))</f>
        <v/>
      </c>
      <c r="S121" s="1" t="str">
        <v>Identificado</v>
      </c>
      <c r="T121" s="1" t="str">
        <v/>
      </c>
      <c r="U121" s="1" t="str">
        <v/>
      </c>
      <c r="V121" s="1" t="str">
        <v/>
      </c>
      <c r="W121" s="1" t="str">
        <v>Alta</v>
      </c>
      <c r="X121" s="1" t="str">
        <v/>
      </c>
      <c r="Y121" s="1" t="str">
        <v/>
      </c>
      <c r="Z121" s="1" t="str">
        <v>2026-07-08</v>
      </c>
      <c r="AA121" s="1" t="str">
        <v/>
      </c>
      <c r="AB121" s="1" t="str">
        <v/>
      </c>
      <c r="AC121" s="1" t="str">
        <v>Neobanco lo entrego en el Q1</v>
      </c>
      <c r="AD121" s="1" t="str">
        <v/>
      </c>
      <c r="AE121" s="1" t="str">
        <v/>
      </c>
      <c r="AF121" s="1" t="str">
        <v/>
      </c>
      <c r="AG121" s="1" t="str">
        <v/>
      </c>
      <c r="AH121" s="1" t="str">
        <v/>
      </c>
      <c r="AI121" s="1" t="str">
        <v/>
      </c>
      <c r="AJ121" s="1" t="str">
        <v/>
      </c>
      <c r="AK121" s="1" t="str">
        <v/>
      </c>
      <c r="AL121" s="1" t="str">
        <v/>
      </c>
    </row>
    <row r="122">
      <c r="A122" s="1" t="str">
        <v>HIST-0121</v>
      </c>
      <c r="B122" s="1" t="str">
        <v>D0085</v>
      </c>
      <c r="C122" s="1" t="str">
        <v>Plataforma de Integración</v>
      </c>
      <c r="D122" s="1" t="str">
        <v/>
      </c>
      <c r="E122" s="1" t="str">
        <v>Creación</v>
      </c>
      <c r="F122" s="1" t="str">
        <v/>
      </c>
      <c r="G122" s="1" t="str">
        <v/>
      </c>
      <c r="H122" s="1" t="str">
        <v/>
      </c>
      <c r="I122" s="1" t="str">
        <v/>
      </c>
      <c r="J122" s="1" t="str">
        <v/>
      </c>
      <c r="K122" s="1" t="str">
        <v>Edward Aviles Chabur</v>
      </c>
      <c r="L122" s="1" t="str">
        <v>App</v>
      </c>
      <c r="M122" s="1" t="str">
        <v>2026-04-15</v>
      </c>
      <c r="N122" s="1" t="str">
        <v/>
      </c>
      <c r="O122" s="1" t="str">
        <v/>
      </c>
      <c r="P122" s="1" t="str">
        <v/>
      </c>
      <c r="Q122" s="1" t="str">
        <v/>
      </c>
      <c r="R122" s="1" t="str">
        <f>IF(Q122="","","Q"&amp;ROUNDUP(MONTH(Q122)/3,0)&amp;"-"&amp;YEAR(Q122))</f>
        <v/>
      </c>
      <c r="S122" s="1" t="str">
        <v>Diseño</v>
      </c>
      <c r="T122" s="1" t="str">
        <v/>
      </c>
      <c r="U122" s="1" t="str">
        <v/>
      </c>
      <c r="V122" s="1" t="str">
        <v/>
      </c>
      <c r="W122" s="1" t="str">
        <v>Media</v>
      </c>
      <c r="X122" s="1" t="str">
        <v/>
      </c>
      <c r="Y122" s="1" t="str">
        <v/>
      </c>
      <c r="Z122" s="1" t="str">
        <v>2026-07-08</v>
      </c>
      <c r="AA122" s="1" t="str">
        <v/>
      </c>
      <c r="AB122" s="1" t="str">
        <v/>
      </c>
      <c r="AC122" s="1" t="str">
        <v>Neobanco lo entrego en el Q1, Urpi Pro en Q2</v>
      </c>
      <c r="AD122" s="1" t="str">
        <v/>
      </c>
      <c r="AE122" s="1" t="str">
        <v/>
      </c>
      <c r="AF122" s="1" t="str">
        <v/>
      </c>
      <c r="AG122" s="1" t="str">
        <v/>
      </c>
      <c r="AH122" s="1" t="str">
        <v>Finalizado</v>
      </c>
      <c r="AI122" s="1" t="str">
        <v/>
      </c>
      <c r="AJ122" s="1" t="str">
        <v/>
      </c>
      <c r="AK122" s="1" t="str">
        <v/>
      </c>
      <c r="AL122" s="1" t="str">
        <v/>
      </c>
    </row>
    <row r="123">
      <c r="A123" s="1" t="str">
        <v>HIST-0122</v>
      </c>
      <c r="B123" s="1" t="str">
        <v>D0086</v>
      </c>
      <c r="C123" s="1" t="str">
        <v>Plataforma de Integración</v>
      </c>
      <c r="D123" s="1" t="str">
        <v/>
      </c>
      <c r="E123" s="1" t="str">
        <v>Creación</v>
      </c>
      <c r="F123" s="1" t="str">
        <v/>
      </c>
      <c r="G123" s="1" t="str">
        <v/>
      </c>
      <c r="H123" s="1" t="str">
        <v/>
      </c>
      <c r="I123" s="1" t="str">
        <v/>
      </c>
      <c r="J123" s="1" t="str">
        <v/>
      </c>
      <c r="K123" s="1" t="str">
        <v>Edward Aviles Chabur</v>
      </c>
      <c r="L123" s="1" t="str">
        <v>App</v>
      </c>
      <c r="M123" s="1" t="str">
        <v>2026-03-30</v>
      </c>
      <c r="N123" s="1" t="str">
        <v/>
      </c>
      <c r="O123" s="1" t="str">
        <v/>
      </c>
      <c r="P123" s="1" t="str">
        <v/>
      </c>
      <c r="Q123" s="1" t="str">
        <v/>
      </c>
      <c r="R123" s="1" t="str">
        <f>IF(Q123="","","Q"&amp;ROUNDUP(MONTH(Q123)/3,0)&amp;"-"&amp;YEAR(Q123))</f>
        <v/>
      </c>
      <c r="S123" s="1" t="str">
        <v>Identificado</v>
      </c>
      <c r="T123" s="1" t="str">
        <v/>
      </c>
      <c r="U123" s="1" t="str">
        <v/>
      </c>
      <c r="V123" s="1" t="str">
        <v/>
      </c>
      <c r="W123" s="1" t="str">
        <v>Media</v>
      </c>
      <c r="X123" s="1" t="str">
        <v/>
      </c>
      <c r="Y123" s="1" t="str">
        <v/>
      </c>
      <c r="Z123" s="1" t="str">
        <v>2026-07-08</v>
      </c>
      <c r="AA123" s="1" t="str">
        <v/>
      </c>
      <c r="AB123" s="1" t="str">
        <v/>
      </c>
      <c r="AC123" s="1" t="str">
        <v>Neobanco lo entrego en el Q1, Riesgos tambien lo esta viendo, Urpi Pro resutilizará</v>
      </c>
      <c r="AD123" s="1" t="str">
        <v/>
      </c>
      <c r="AE123" s="1" t="str">
        <v/>
      </c>
      <c r="AF123" s="1" t="str">
        <v/>
      </c>
      <c r="AG123" s="1" t="str">
        <v/>
      </c>
      <c r="AH123" s="1" t="str">
        <v/>
      </c>
      <c r="AI123" s="1" t="str">
        <v/>
      </c>
      <c r="AJ123" s="1" t="str">
        <v/>
      </c>
      <c r="AK123" s="1" t="str">
        <v/>
      </c>
      <c r="AL123" s="1" t="str">
        <v/>
      </c>
    </row>
    <row r="124">
      <c r="A124" s="1" t="str">
        <v>HIST-0123</v>
      </c>
      <c r="B124" s="1" t="str">
        <v>D0087</v>
      </c>
      <c r="C124" s="1" t="str">
        <v>Plataforma de Integración</v>
      </c>
      <c r="D124" s="1" t="str">
        <v/>
      </c>
      <c r="E124" s="1" t="str">
        <v>Creación</v>
      </c>
      <c r="F124" s="1" t="str">
        <v/>
      </c>
      <c r="G124" s="1" t="str">
        <v/>
      </c>
      <c r="H124" s="1" t="str">
        <v/>
      </c>
      <c r="I124" s="1" t="str">
        <v/>
      </c>
      <c r="J124" s="1" t="str">
        <v/>
      </c>
      <c r="K124" s="1" t="str">
        <v>Edward Aviles Chabur</v>
      </c>
      <c r="L124" s="1" t="str">
        <v>App</v>
      </c>
      <c r="M124" s="1" t="str">
        <v>2026-04-08</v>
      </c>
      <c r="N124" s="1" t="str">
        <v/>
      </c>
      <c r="O124" s="1" t="str">
        <v/>
      </c>
      <c r="P124" s="1" t="str">
        <v/>
      </c>
      <c r="Q124" s="1" t="str">
        <v/>
      </c>
      <c r="R124" s="1" t="str">
        <f>IF(Q124="","","Q"&amp;ROUNDUP(MONTH(Q124)/3,0)&amp;"-"&amp;YEAR(Q124))</f>
        <v/>
      </c>
      <c r="S124" s="1" t="str">
        <v>Identificado</v>
      </c>
      <c r="T124" s="1" t="str">
        <v/>
      </c>
      <c r="U124" s="1" t="str">
        <v/>
      </c>
      <c r="V124" s="1" t="str">
        <v/>
      </c>
      <c r="W124" s="1" t="str">
        <v>Media</v>
      </c>
      <c r="X124" s="1" t="str">
        <v/>
      </c>
      <c r="Y124" s="1" t="str">
        <v/>
      </c>
      <c r="Z124" s="1" t="str">
        <v>2026-07-08</v>
      </c>
      <c r="AA124" s="1" t="str">
        <v/>
      </c>
      <c r="AB124" s="1" t="str">
        <v/>
      </c>
      <c r="AC124" s="1" t="str">
        <v>Desestimado</v>
      </c>
      <c r="AD124" s="1" t="str">
        <v/>
      </c>
      <c r="AE124" s="1" t="str">
        <v/>
      </c>
      <c r="AF124" s="1" t="str">
        <v/>
      </c>
      <c r="AG124" s="1" t="str">
        <v/>
      </c>
      <c r="AH124" s="1" t="str">
        <v/>
      </c>
      <c r="AI124" s="1" t="str">
        <v/>
      </c>
      <c r="AJ124" s="1" t="str">
        <v/>
      </c>
      <c r="AK124" s="1" t="str">
        <v/>
      </c>
      <c r="AL124" s="1" t="str">
        <v/>
      </c>
    </row>
    <row r="125">
      <c r="A125" s="1" t="str">
        <v>HIST-0124</v>
      </c>
      <c r="B125" s="1" t="str">
        <v>D0088</v>
      </c>
      <c r="C125" s="1" t="str">
        <v>Plataforma de Integración</v>
      </c>
      <c r="D125" s="1" t="str">
        <v/>
      </c>
      <c r="E125" s="1" t="str">
        <v>Creación</v>
      </c>
      <c r="F125" s="1" t="str">
        <v/>
      </c>
      <c r="G125" s="1" t="str">
        <v/>
      </c>
      <c r="H125" s="1" t="str">
        <v/>
      </c>
      <c r="I125" s="1" t="str">
        <v/>
      </c>
      <c r="J125" s="1" t="str">
        <v/>
      </c>
      <c r="K125" s="1" t="str">
        <v>Edward Aviles Chabur</v>
      </c>
      <c r="L125" s="1" t="str">
        <v>App</v>
      </c>
      <c r="M125" s="1" t="str">
        <v>2026-03-30</v>
      </c>
      <c r="N125" s="1" t="str">
        <v/>
      </c>
      <c r="O125" s="1" t="str">
        <v/>
      </c>
      <c r="P125" s="1" t="str">
        <v/>
      </c>
      <c r="Q125" s="1" t="str">
        <v/>
      </c>
      <c r="R125" s="1" t="str">
        <f>IF(Q125="","","Q"&amp;ROUNDUP(MONTH(Q125)/3,0)&amp;"-"&amp;YEAR(Q125))</f>
        <v/>
      </c>
      <c r="S125" s="1" t="str">
        <v>Identificado</v>
      </c>
      <c r="T125" s="1" t="str">
        <v/>
      </c>
      <c r="U125" s="1" t="str">
        <v/>
      </c>
      <c r="V125" s="1" t="str">
        <v/>
      </c>
      <c r="W125" s="1" t="str">
        <v>Media</v>
      </c>
      <c r="X125" s="1" t="str">
        <v/>
      </c>
      <c r="Y125" s="1" t="str">
        <v/>
      </c>
      <c r="Z125" s="1" t="str">
        <v>2026-07-08</v>
      </c>
      <c r="AA125" s="1" t="str">
        <v/>
      </c>
      <c r="AB125" s="1" t="str">
        <v/>
      </c>
      <c r="AC125" s="1" t="str">
        <v>Desestimado</v>
      </c>
      <c r="AD125" s="1" t="str">
        <v/>
      </c>
      <c r="AE125" s="1" t="str">
        <v/>
      </c>
      <c r="AF125" s="1" t="str">
        <v/>
      </c>
      <c r="AG125" s="1" t="str">
        <v/>
      </c>
      <c r="AH125" s="1" t="str">
        <v/>
      </c>
      <c r="AI125" s="1" t="str">
        <v/>
      </c>
      <c r="AJ125" s="1" t="str">
        <v/>
      </c>
      <c r="AK125" s="1" t="str">
        <v/>
      </c>
      <c r="AL125" s="1" t="str">
        <v/>
      </c>
    </row>
    <row r="126">
      <c r="A126" s="1" t="str">
        <v>HIST-0125</v>
      </c>
      <c r="B126" s="1" t="str">
        <v>D0089</v>
      </c>
      <c r="C126" s="1" t="str">
        <v>Plataforma de Integración</v>
      </c>
      <c r="D126" s="1" t="str">
        <v/>
      </c>
      <c r="E126" s="1" t="str">
        <v>Creación</v>
      </c>
      <c r="F126" s="1" t="str">
        <v/>
      </c>
      <c r="G126" s="1" t="str">
        <v/>
      </c>
      <c r="H126" s="1" t="str">
        <v/>
      </c>
      <c r="I126" s="1" t="str">
        <v/>
      </c>
      <c r="J126" s="1" t="str">
        <v/>
      </c>
      <c r="K126" s="1" t="str">
        <v>Edward Aviles Chabur</v>
      </c>
      <c r="L126" s="1" t="str">
        <v>App</v>
      </c>
      <c r="M126" s="1" t="str">
        <v>2026-03-30</v>
      </c>
      <c r="N126" s="1" t="str">
        <v/>
      </c>
      <c r="O126" s="1" t="str">
        <v/>
      </c>
      <c r="P126" s="1" t="str">
        <v/>
      </c>
      <c r="Q126" s="1" t="str">
        <v/>
      </c>
      <c r="R126" s="1" t="str">
        <f>IF(Q126="","","Q"&amp;ROUNDUP(MONTH(Q126)/3,0)&amp;"-"&amp;YEAR(Q126))</f>
        <v/>
      </c>
      <c r="S126" s="1" t="str">
        <v>Identificado</v>
      </c>
      <c r="T126" s="1" t="str">
        <v/>
      </c>
      <c r="U126" s="1" t="str">
        <v/>
      </c>
      <c r="V126" s="1" t="str">
        <v/>
      </c>
      <c r="W126" s="1" t="str">
        <v>Baja</v>
      </c>
      <c r="X126" s="1" t="str">
        <v/>
      </c>
      <c r="Y126" s="1" t="str">
        <v/>
      </c>
      <c r="Z126" s="1" t="str">
        <v>2026-07-08</v>
      </c>
      <c r="AA126" s="1" t="str">
        <v/>
      </c>
      <c r="AB126" s="1" t="str">
        <v/>
      </c>
      <c r="AC126" s="1" t="str">
        <v>Desestimado</v>
      </c>
      <c r="AD126" s="1" t="str">
        <v/>
      </c>
      <c r="AE126" s="1" t="str">
        <v/>
      </c>
      <c r="AF126" s="1" t="str">
        <v/>
      </c>
      <c r="AG126" s="1" t="str">
        <v/>
      </c>
      <c r="AH126" s="1" t="str">
        <v/>
      </c>
      <c r="AI126" s="1" t="str">
        <v/>
      </c>
      <c r="AJ126" s="1" t="str">
        <v/>
      </c>
      <c r="AK126" s="1" t="str">
        <v/>
      </c>
      <c r="AL126" s="1" t="str">
        <v/>
      </c>
    </row>
    <row r="127">
      <c r="A127" s="1" t="str">
        <v>HIST-0126</v>
      </c>
      <c r="B127" s="1" t="str">
        <v>D0090</v>
      </c>
      <c r="C127" s="1" t="str">
        <v>Plataforma de Integración</v>
      </c>
      <c r="D127" s="1" t="str">
        <v/>
      </c>
      <c r="E127" s="1" t="str">
        <v>Creación</v>
      </c>
      <c r="F127" s="1" t="str">
        <v/>
      </c>
      <c r="G127" s="1" t="str">
        <v/>
      </c>
      <c r="H127" s="1" t="str">
        <v/>
      </c>
      <c r="I127" s="1" t="str">
        <v/>
      </c>
      <c r="J127" s="1" t="str">
        <v/>
      </c>
      <c r="K127" s="1" t="str">
        <v>Edward Aviles Chabur</v>
      </c>
      <c r="L127" s="1" t="str">
        <v>App</v>
      </c>
      <c r="M127" s="1" t="str">
        <v>2026-03-30</v>
      </c>
      <c r="N127" s="1" t="str">
        <v/>
      </c>
      <c r="O127" s="1" t="str">
        <v/>
      </c>
      <c r="P127" s="1" t="str">
        <v/>
      </c>
      <c r="Q127" s="1" t="str">
        <v/>
      </c>
      <c r="R127" s="1" t="str">
        <f>IF(Q127="","","Q"&amp;ROUNDUP(MONTH(Q127)/3,0)&amp;"-"&amp;YEAR(Q127))</f>
        <v/>
      </c>
      <c r="S127" s="1" t="str">
        <v>Identificado</v>
      </c>
      <c r="T127" s="1" t="str">
        <v/>
      </c>
      <c r="U127" s="1" t="str">
        <v/>
      </c>
      <c r="V127" s="1" t="str">
        <v/>
      </c>
      <c r="W127" s="1" t="str">
        <v>Alta</v>
      </c>
      <c r="X127" s="1" t="str">
        <v/>
      </c>
      <c r="Y127" s="1" t="str">
        <v/>
      </c>
      <c r="Z127" s="1" t="str">
        <v>2026-07-08</v>
      </c>
      <c r="AA127" s="1" t="str">
        <v/>
      </c>
      <c r="AB127" s="1" t="str">
        <v/>
      </c>
      <c r="AC127" s="1" t="str">
        <v>Desestimado</v>
      </c>
      <c r="AD127" s="1" t="str">
        <v/>
      </c>
      <c r="AE127" s="1" t="str">
        <v/>
      </c>
      <c r="AF127" s="1" t="str">
        <v/>
      </c>
      <c r="AG127" s="1" t="str">
        <v/>
      </c>
      <c r="AH127" s="1" t="str">
        <v/>
      </c>
      <c r="AI127" s="1" t="str">
        <v/>
      </c>
      <c r="AJ127" s="1" t="str">
        <v/>
      </c>
      <c r="AK127" s="1" t="str">
        <v/>
      </c>
      <c r="AL127" s="1" t="str">
        <v/>
      </c>
    </row>
    <row r="128">
      <c r="A128" s="1" t="str">
        <v>HIST-0127</v>
      </c>
      <c r="B128" s="1" t="str">
        <v>D0091</v>
      </c>
      <c r="C128" s="1" t="str">
        <v>Plataforma de Integración</v>
      </c>
      <c r="D128" s="1" t="str">
        <v/>
      </c>
      <c r="E128" s="1" t="str">
        <v>Creación</v>
      </c>
      <c r="F128" s="1" t="str">
        <v/>
      </c>
      <c r="G128" s="1" t="str">
        <v/>
      </c>
      <c r="H128" s="1" t="str">
        <v/>
      </c>
      <c r="I128" s="1" t="str">
        <v/>
      </c>
      <c r="J128" s="1" t="str">
        <v/>
      </c>
      <c r="K128" s="1" t="str">
        <v>Edward Aviles Chabur</v>
      </c>
      <c r="L128" s="1" t="str">
        <v>App</v>
      </c>
      <c r="M128" s="1" t="str">
        <v>2026-03-30</v>
      </c>
      <c r="N128" s="1" t="str">
        <v/>
      </c>
      <c r="O128" s="1" t="str">
        <v/>
      </c>
      <c r="P128" s="1" t="str">
        <v/>
      </c>
      <c r="Q128" s="1" t="str">
        <v/>
      </c>
      <c r="R128" s="1" t="str">
        <f>IF(Q128="","","Q"&amp;ROUNDUP(MONTH(Q128)/3,0)&amp;"-"&amp;YEAR(Q128))</f>
        <v/>
      </c>
      <c r="S128" s="1" t="str">
        <v>Identificado</v>
      </c>
      <c r="T128" s="1" t="str">
        <v/>
      </c>
      <c r="U128" s="1" t="str">
        <v/>
      </c>
      <c r="V128" s="1" t="str">
        <v/>
      </c>
      <c r="W128" s="1" t="str">
        <v>Alta</v>
      </c>
      <c r="X128" s="1" t="str">
        <v/>
      </c>
      <c r="Y128" s="1" t="str">
        <v/>
      </c>
      <c r="Z128" s="1" t="str">
        <v>2026-07-08</v>
      </c>
      <c r="AA128" s="1" t="str">
        <v/>
      </c>
      <c r="AB128" s="1" t="str">
        <v/>
      </c>
      <c r="AC128" s="1" t="str">
        <v>Neobanco lo entrego en el Q1, Riesgos tambien lo esta viendo, Urpi Pro resutilizará</v>
      </c>
      <c r="AD128" s="1" t="str">
        <v/>
      </c>
      <c r="AE128" s="1" t="str">
        <v/>
      </c>
      <c r="AF128" s="1" t="str">
        <v/>
      </c>
      <c r="AG128" s="1" t="str">
        <v/>
      </c>
      <c r="AH128" s="1" t="str">
        <v/>
      </c>
      <c r="AI128" s="1" t="str">
        <v/>
      </c>
      <c r="AJ128" s="1" t="str">
        <v/>
      </c>
      <c r="AK128" s="1" t="str">
        <v/>
      </c>
      <c r="AL128" s="1" t="str">
        <v/>
      </c>
    </row>
    <row r="129">
      <c r="A129" s="1" t="str">
        <v>HIST-0128</v>
      </c>
      <c r="B129" s="1" t="str">
        <v>D0092</v>
      </c>
      <c r="C129" s="1" t="str">
        <v>Plataforma de Integración</v>
      </c>
      <c r="D129" s="1" t="str">
        <v/>
      </c>
      <c r="E129" s="1" t="str">
        <v>Creación</v>
      </c>
      <c r="F129" s="1" t="str">
        <v/>
      </c>
      <c r="G129" s="1" t="str">
        <v/>
      </c>
      <c r="H129" s="1" t="str">
        <v/>
      </c>
      <c r="I129" s="1" t="str">
        <v/>
      </c>
      <c r="J129" s="1" t="str">
        <v/>
      </c>
      <c r="K129" s="1" t="str">
        <v>Edward Aviles Chabur</v>
      </c>
      <c r="L129" s="1" t="str">
        <v>App</v>
      </c>
      <c r="M129" s="1" t="str">
        <v>2026-03-30</v>
      </c>
      <c r="N129" s="1" t="str">
        <v/>
      </c>
      <c r="O129" s="1" t="str">
        <v/>
      </c>
      <c r="P129" s="1" t="str">
        <v/>
      </c>
      <c r="Q129" s="1" t="str">
        <v/>
      </c>
      <c r="R129" s="1" t="str">
        <f>IF(Q129="","","Q"&amp;ROUNDUP(MONTH(Q129)/3,0)&amp;"-"&amp;YEAR(Q129))</f>
        <v/>
      </c>
      <c r="S129" s="1" t="str">
        <v>Identificado</v>
      </c>
      <c r="T129" s="1" t="str">
        <v/>
      </c>
      <c r="U129" s="1" t="str">
        <v/>
      </c>
      <c r="V129" s="1" t="str">
        <v/>
      </c>
      <c r="W129" s="1" t="str">
        <v>Media</v>
      </c>
      <c r="X129" s="1" t="str">
        <v/>
      </c>
      <c r="Y129" s="1" t="str">
        <v/>
      </c>
      <c r="Z129" s="1" t="str">
        <v>2026-07-08</v>
      </c>
      <c r="AA129" s="1" t="str">
        <v/>
      </c>
      <c r="AB129" s="1" t="str">
        <v/>
      </c>
      <c r="AC129" s="1" t="str">
        <v>Desestimado</v>
      </c>
      <c r="AD129" s="1" t="str">
        <v/>
      </c>
      <c r="AE129" s="1" t="str">
        <v/>
      </c>
      <c r="AF129" s="1" t="str">
        <v/>
      </c>
      <c r="AG129" s="1" t="str">
        <v/>
      </c>
      <c r="AH129" s="1" t="str">
        <v/>
      </c>
      <c r="AI129" s="1" t="str">
        <v/>
      </c>
      <c r="AJ129" s="1" t="str">
        <v/>
      </c>
      <c r="AK129" s="1" t="str">
        <v/>
      </c>
      <c r="AL129" s="1" t="str">
        <v/>
      </c>
    </row>
    <row r="130">
      <c r="A130" s="1" t="str">
        <v>HIST-0129</v>
      </c>
      <c r="B130" s="1" t="str">
        <v>D0093</v>
      </c>
      <c r="C130" s="1" t="str">
        <v>Plataforma de Integración</v>
      </c>
      <c r="D130" s="1" t="str">
        <v/>
      </c>
      <c r="E130" s="1" t="str">
        <v>Creación</v>
      </c>
      <c r="F130" s="1" t="str">
        <v/>
      </c>
      <c r="G130" s="1" t="str">
        <v/>
      </c>
      <c r="H130" s="1" t="str">
        <v/>
      </c>
      <c r="I130" s="1" t="str">
        <v/>
      </c>
      <c r="J130" s="1" t="str">
        <v/>
      </c>
      <c r="K130" s="1" t="str">
        <v>Edward Aviles Chabur</v>
      </c>
      <c r="L130" s="1" t="str">
        <v>App</v>
      </c>
      <c r="M130" s="1" t="str">
        <v>2026-03-30</v>
      </c>
      <c r="N130" s="1" t="str">
        <v/>
      </c>
      <c r="O130" s="1" t="str">
        <v/>
      </c>
      <c r="P130" s="1" t="str">
        <v/>
      </c>
      <c r="Q130" s="1" t="str">
        <v/>
      </c>
      <c r="R130" s="1" t="str">
        <f>IF(Q130="","","Q"&amp;ROUNDUP(MONTH(Q130)/3,0)&amp;"-"&amp;YEAR(Q130))</f>
        <v/>
      </c>
      <c r="S130" s="1" t="str">
        <v>Identificado</v>
      </c>
      <c r="T130" s="1" t="str">
        <v/>
      </c>
      <c r="U130" s="1" t="str">
        <v/>
      </c>
      <c r="V130" s="1" t="str">
        <v/>
      </c>
      <c r="W130" s="1" t="str">
        <v>Media</v>
      </c>
      <c r="X130" s="1" t="str">
        <v/>
      </c>
      <c r="Y130" s="1" t="str">
        <v/>
      </c>
      <c r="Z130" s="1" t="str">
        <v>2026-06-30</v>
      </c>
      <c r="AA130" s="1" t="str">
        <v/>
      </c>
      <c r="AB130" s="1" t="str">
        <v/>
      </c>
      <c r="AC130" s="1" t="str">
        <v>Pasó a produccion en Q1</v>
      </c>
      <c r="AD130" s="1" t="str">
        <v/>
      </c>
      <c r="AE130" s="1" t="str">
        <v/>
      </c>
      <c r="AF130" s="1" t="str">
        <v/>
      </c>
      <c r="AG130" s="1" t="str">
        <v>Finalizado</v>
      </c>
      <c r="AH130" s="1" t="str">
        <v>Finalizado</v>
      </c>
      <c r="AI130" s="1" t="str">
        <v/>
      </c>
      <c r="AJ130" s="1" t="str">
        <v/>
      </c>
      <c r="AK130" s="1" t="str">
        <v/>
      </c>
      <c r="AL130" s="1" t="str">
        <v/>
      </c>
    </row>
    <row r="131">
      <c r="A131" s="1" t="str">
        <v>HIST-0130</v>
      </c>
      <c r="B131" s="1" t="str">
        <v>D0094</v>
      </c>
      <c r="C131" s="1" t="str">
        <v>Plataforma de Integración</v>
      </c>
      <c r="D131" s="1" t="str">
        <v/>
      </c>
      <c r="E131" s="1" t="str">
        <v>Creación</v>
      </c>
      <c r="F131" s="1" t="str">
        <v/>
      </c>
      <c r="G131" s="1" t="str">
        <v/>
      </c>
      <c r="H131" s="1" t="str">
        <v/>
      </c>
      <c r="I131" s="1" t="str">
        <v/>
      </c>
      <c r="J131" s="1" t="str">
        <v/>
      </c>
      <c r="K131" s="1" t="str">
        <v>Edward Aviles Chabur</v>
      </c>
      <c r="L131" s="1" t="str">
        <v>App</v>
      </c>
      <c r="M131" s="1" t="str">
        <v>2026-03-30</v>
      </c>
      <c r="N131" s="1" t="str">
        <v/>
      </c>
      <c r="O131" s="1" t="str">
        <v/>
      </c>
      <c r="P131" s="1" t="str">
        <v/>
      </c>
      <c r="Q131" s="1" t="str">
        <v/>
      </c>
      <c r="R131" s="1" t="str">
        <f>IF(Q131="","","Q"&amp;ROUNDUP(MONTH(Q131)/3,0)&amp;"-"&amp;YEAR(Q131))</f>
        <v/>
      </c>
      <c r="S131" s="1" t="str">
        <v>Identificado</v>
      </c>
      <c r="T131" s="1" t="str">
        <v/>
      </c>
      <c r="U131" s="1" t="str">
        <v/>
      </c>
      <c r="V131" s="1" t="str">
        <v/>
      </c>
      <c r="W131" s="1" t="str">
        <v>Alta</v>
      </c>
      <c r="X131" s="1" t="str">
        <v/>
      </c>
      <c r="Y131" s="1" t="str">
        <v/>
      </c>
      <c r="Z131" s="1" t="str">
        <v>2026-06-30</v>
      </c>
      <c r="AA131" s="1" t="str">
        <v/>
      </c>
      <c r="AB131" s="1" t="str">
        <v/>
      </c>
      <c r="AC131" s="1" t="str">
        <v>API PROC en producción entregado en Q1</v>
      </c>
      <c r="AD131" s="1" t="str">
        <v/>
      </c>
      <c r="AE131" s="1" t="str">
        <v/>
      </c>
      <c r="AF131" s="1" t="str">
        <v/>
      </c>
      <c r="AG131" s="1" t="str">
        <v>Finalizado</v>
      </c>
      <c r="AH131" s="1" t="str">
        <v>Finalizado</v>
      </c>
      <c r="AI131" s="1" t="str">
        <v/>
      </c>
      <c r="AJ131" s="1" t="str">
        <v/>
      </c>
      <c r="AK131" s="1" t="str">
        <v/>
      </c>
      <c r="AL131" s="1" t="str">
        <v/>
      </c>
    </row>
    <row r="132">
      <c r="A132" s="1" t="str">
        <v>HIST-0131</v>
      </c>
      <c r="B132" s="1" t="str">
        <v>D0095</v>
      </c>
      <c r="C132" s="1" t="str">
        <v>Plataforma de Integración</v>
      </c>
      <c r="D132" s="1" t="str">
        <v/>
      </c>
      <c r="E132" s="1" t="str">
        <v>Creación</v>
      </c>
      <c r="F132" s="1" t="str">
        <v/>
      </c>
      <c r="G132" s="1" t="str">
        <v/>
      </c>
      <c r="H132" s="1" t="str">
        <v/>
      </c>
      <c r="I132" s="1" t="str">
        <v/>
      </c>
      <c r="J132" s="1" t="str">
        <v/>
      </c>
      <c r="K132" s="1" t="str">
        <v>Edward Aviles Chabur</v>
      </c>
      <c r="L132" s="1" t="str">
        <v>App</v>
      </c>
      <c r="M132" s="1" t="str">
        <v>2026-03-30</v>
      </c>
      <c r="N132" s="1" t="str">
        <v/>
      </c>
      <c r="O132" s="1" t="str">
        <v/>
      </c>
      <c r="P132" s="1" t="str">
        <v/>
      </c>
      <c r="Q132" s="1" t="str">
        <v/>
      </c>
      <c r="R132" s="1" t="str">
        <f>IF(Q132="","","Q"&amp;ROUNDUP(MONTH(Q132)/3,0)&amp;"-"&amp;YEAR(Q132))</f>
        <v/>
      </c>
      <c r="S132" s="1" t="str">
        <v>Identificado</v>
      </c>
      <c r="T132" s="1" t="str">
        <v/>
      </c>
      <c r="U132" s="1" t="str">
        <v/>
      </c>
      <c r="V132" s="1" t="str">
        <v/>
      </c>
      <c r="W132" s="1" t="str">
        <v>Baja</v>
      </c>
      <c r="X132" s="1" t="str">
        <v/>
      </c>
      <c r="Y132" s="1" t="str">
        <v/>
      </c>
      <c r="Z132" s="1" t="str">
        <v>2026-06-30</v>
      </c>
      <c r="AA132" s="1" t="str">
        <v/>
      </c>
      <c r="AB132" s="1" t="str">
        <v/>
      </c>
      <c r="AC132" s="1" t="str">
        <v>Pasó a produccion en Q1</v>
      </c>
      <c r="AD132" s="1" t="str">
        <v/>
      </c>
      <c r="AE132" s="1" t="str">
        <v/>
      </c>
      <c r="AF132" s="1" t="str">
        <v/>
      </c>
      <c r="AG132" s="1" t="str">
        <v>Finalizado</v>
      </c>
      <c r="AH132" s="1" t="str">
        <v>Finalizado</v>
      </c>
      <c r="AI132" s="1" t="str">
        <v/>
      </c>
      <c r="AJ132" s="1" t="str">
        <v/>
      </c>
      <c r="AK132" s="1" t="str">
        <v/>
      </c>
      <c r="AL132" s="1" t="str">
        <v/>
      </c>
    </row>
    <row r="133">
      <c r="A133" s="1" t="str">
        <v>HIST-0132</v>
      </c>
      <c r="B133" s="1" t="str">
        <v>D0096</v>
      </c>
      <c r="C133" s="1" t="str">
        <v>Plataforma de Integración</v>
      </c>
      <c r="D133" s="1" t="str">
        <v/>
      </c>
      <c r="E133" s="1" t="str">
        <v>Creación</v>
      </c>
      <c r="F133" s="1" t="str">
        <v/>
      </c>
      <c r="G133" s="1" t="str">
        <v/>
      </c>
      <c r="H133" s="1" t="str">
        <v/>
      </c>
      <c r="I133" s="1" t="str">
        <v/>
      </c>
      <c r="J133" s="1" t="str">
        <v/>
      </c>
      <c r="K133" s="1" t="str">
        <v>Edward Aviles Chabur</v>
      </c>
      <c r="L133" s="1" t="str">
        <v>App</v>
      </c>
      <c r="M133" s="1" t="str">
        <v>2026-03-30</v>
      </c>
      <c r="N133" s="1" t="str">
        <v/>
      </c>
      <c r="O133" s="1" t="str">
        <v/>
      </c>
      <c r="P133" s="1" t="str">
        <v/>
      </c>
      <c r="Q133" s="1" t="str">
        <v/>
      </c>
      <c r="R133" s="1" t="str">
        <f>IF(Q133="","","Q"&amp;ROUNDUP(MONTH(Q133)/3,0)&amp;"-"&amp;YEAR(Q133))</f>
        <v/>
      </c>
      <c r="S133" s="1" t="str">
        <v>Identificado</v>
      </c>
      <c r="T133" s="1" t="str">
        <v/>
      </c>
      <c r="U133" s="1" t="str">
        <v/>
      </c>
      <c r="V133" s="1" t="str">
        <v/>
      </c>
      <c r="W133" s="1" t="str">
        <v>Baja</v>
      </c>
      <c r="X133" s="1" t="str">
        <v/>
      </c>
      <c r="Y133" s="1" t="str">
        <v/>
      </c>
      <c r="Z133" s="1" t="str">
        <v/>
      </c>
      <c r="AA133" s="1" t="str">
        <v/>
      </c>
      <c r="AB133" s="1" t="str">
        <v/>
      </c>
      <c r="AC133" s="1" t="str">
        <v/>
      </c>
      <c r="AD133" s="1" t="str">
        <v/>
      </c>
      <c r="AE133" s="1" t="str">
        <v/>
      </c>
      <c r="AF133" s="1" t="str">
        <v/>
      </c>
      <c r="AG133" s="1" t="str">
        <v/>
      </c>
      <c r="AH133" s="1" t="str">
        <v/>
      </c>
      <c r="AI133" s="1" t="str">
        <v/>
      </c>
      <c r="AJ133" s="1" t="str">
        <v/>
      </c>
      <c r="AK133" s="1" t="str">
        <v/>
      </c>
      <c r="AL133" s="1" t="str">
        <v/>
      </c>
    </row>
    <row r="134">
      <c r="A134" s="1" t="str">
        <v>HIST-0133</v>
      </c>
      <c r="B134" s="1" t="str">
        <v>D0097</v>
      </c>
      <c r="C134" s="1" t="str">
        <v>Plataforma de Integración</v>
      </c>
      <c r="D134" s="1" t="str">
        <v/>
      </c>
      <c r="E134" s="1" t="str">
        <v>Creación</v>
      </c>
      <c r="F134" s="1" t="str">
        <v/>
      </c>
      <c r="G134" s="1" t="str">
        <v/>
      </c>
      <c r="H134" s="1" t="str">
        <v/>
      </c>
      <c r="I134" s="1" t="str">
        <v/>
      </c>
      <c r="J134" s="1" t="str">
        <v/>
      </c>
      <c r="K134" s="1" t="str">
        <v>Edward Aviles Chabur</v>
      </c>
      <c r="L134" s="1" t="str">
        <v>App</v>
      </c>
      <c r="M134" s="1" t="str">
        <v>2026-04-07</v>
      </c>
      <c r="N134" s="1" t="str">
        <v/>
      </c>
      <c r="O134" s="1" t="str">
        <v/>
      </c>
      <c r="P134" s="1" t="str">
        <v/>
      </c>
      <c r="Q134" s="1" t="str">
        <v/>
      </c>
      <c r="R134" s="1" t="str">
        <f>IF(Q134="","","Q"&amp;ROUNDUP(MONTH(Q134)/3,0)&amp;"-"&amp;YEAR(Q134))</f>
        <v/>
      </c>
      <c r="S134" s="1" t="str">
        <v>Identificado</v>
      </c>
      <c r="T134" s="1" t="str">
        <v/>
      </c>
      <c r="U134" s="1" t="str">
        <v/>
      </c>
      <c r="V134" s="1" t="str">
        <v/>
      </c>
      <c r="W134" s="1" t="str">
        <v>Media</v>
      </c>
      <c r="X134" s="1" t="str">
        <v/>
      </c>
      <c r="Y134" s="1" t="str">
        <v/>
      </c>
      <c r="Z134" s="1" t="str">
        <v>2026-06-30</v>
      </c>
      <c r="AA134" s="1" t="str">
        <v/>
      </c>
      <c r="AB134" s="1" t="str">
        <v/>
      </c>
      <c r="AC134" s="1" t="str">
        <v>API PROC en producción entregado en Q1</v>
      </c>
      <c r="AD134" s="1" t="str">
        <v/>
      </c>
      <c r="AE134" s="1" t="str">
        <v/>
      </c>
      <c r="AF134" s="1" t="str">
        <v/>
      </c>
      <c r="AG134" s="1" t="str">
        <v>Finalizado</v>
      </c>
      <c r="AH134" s="1" t="str">
        <v>Finalizado</v>
      </c>
      <c r="AI134" s="1" t="str">
        <v/>
      </c>
      <c r="AJ134" s="1" t="str">
        <v/>
      </c>
      <c r="AK134" s="1" t="str">
        <v/>
      </c>
      <c r="AL134" s="1" t="str">
        <v/>
      </c>
    </row>
    <row r="135">
      <c r="A135" s="1" t="str">
        <v>HIST-0134</v>
      </c>
      <c r="B135" s="1" t="str">
        <v>D0098</v>
      </c>
      <c r="C135" s="1" t="str">
        <v>Plataforma de Integración</v>
      </c>
      <c r="D135" s="1" t="str">
        <v/>
      </c>
      <c r="E135" s="1" t="str">
        <v>Creación</v>
      </c>
      <c r="F135" s="1" t="str">
        <v/>
      </c>
      <c r="G135" s="1" t="str">
        <v/>
      </c>
      <c r="H135" s="1" t="str">
        <v/>
      </c>
      <c r="I135" s="1" t="str">
        <v/>
      </c>
      <c r="J135" s="1" t="str">
        <v/>
      </c>
      <c r="K135" s="1" t="str">
        <v>Edward Aviles Chabur</v>
      </c>
      <c r="L135" s="1" t="str">
        <v>App</v>
      </c>
      <c r="M135" s="1" t="str">
        <v>2026-04-07</v>
      </c>
      <c r="N135" s="1" t="str">
        <v/>
      </c>
      <c r="O135" s="1" t="str">
        <v/>
      </c>
      <c r="P135" s="1" t="str">
        <v/>
      </c>
      <c r="Q135" s="1" t="str">
        <v/>
      </c>
      <c r="R135" s="1" t="str">
        <f>IF(Q135="","","Q"&amp;ROUNDUP(MONTH(Q135)/3,0)&amp;"-"&amp;YEAR(Q135))</f>
        <v/>
      </c>
      <c r="S135" s="1" t="str">
        <v>Identificado</v>
      </c>
      <c r="T135" s="1" t="str">
        <v/>
      </c>
      <c r="U135" s="1" t="str">
        <v/>
      </c>
      <c r="V135" s="1" t="str">
        <v/>
      </c>
      <c r="W135" s="1" t="str">
        <v>Media</v>
      </c>
      <c r="X135" s="1" t="str">
        <v/>
      </c>
      <c r="Y135" s="1" t="str">
        <v/>
      </c>
      <c r="Z135" s="1" t="str">
        <v/>
      </c>
      <c r="AA135" s="1" t="str">
        <v/>
      </c>
      <c r="AB135" s="1" t="str">
        <v/>
      </c>
      <c r="AC135" s="1" t="str">
        <v/>
      </c>
      <c r="AD135" s="1" t="str">
        <v/>
      </c>
      <c r="AE135" s="1" t="str">
        <v/>
      </c>
      <c r="AF135" s="1" t="str">
        <v/>
      </c>
      <c r="AG135" s="1" t="str">
        <v/>
      </c>
      <c r="AH135" s="1" t="str">
        <v/>
      </c>
      <c r="AI135" s="1" t="str">
        <v/>
      </c>
      <c r="AJ135" s="1" t="str">
        <v/>
      </c>
      <c r="AK135" s="1" t="str">
        <v/>
      </c>
      <c r="AL135" s="1" t="str">
        <v/>
      </c>
    </row>
    <row r="136">
      <c r="A136" s="1" t="str">
        <v>HIST-0135</v>
      </c>
      <c r="B136" s="1" t="str">
        <v>D0099</v>
      </c>
      <c r="C136" s="1" t="str">
        <v>Solución de Cobranzas (DC&amp;RS)</v>
      </c>
      <c r="D136" s="1" t="str">
        <v/>
      </c>
      <c r="E136" s="1" t="str">
        <v>Modificación</v>
      </c>
      <c r="F136" s="1" t="str">
        <v/>
      </c>
      <c r="G136" s="1" t="str">
        <v>Augusto Cabrera / Henry Aguinaga</v>
      </c>
      <c r="H136" s="1" t="str">
        <v/>
      </c>
      <c r="I136" s="1" t="str">
        <v>Carlos Sotomayor</v>
      </c>
      <c r="J136" s="1" t="str">
        <v>Gustavo Ramos</v>
      </c>
      <c r="K136" s="1" t="str">
        <v>Roberto Duarez</v>
      </c>
      <c r="L136" s="1" t="str">
        <v/>
      </c>
      <c r="M136" s="1" t="str">
        <v>2026-07-07</v>
      </c>
      <c r="N136" s="1" t="str">
        <v/>
      </c>
      <c r="O136" s="1" t="str">
        <v/>
      </c>
      <c r="P136" s="1" t="str">
        <v/>
      </c>
      <c r="Q136" s="1" t="str">
        <v>TBD</v>
      </c>
      <c r="R136" s="1" t="str">
        <f>IF(Q136="","","Q"&amp;ROUNDUP(MONTH(Q136)/3,0)&amp;"-"&amp;YEAR(Q136))</f>
        <v/>
      </c>
      <c r="S136" s="1" t="str">
        <v>Identificado</v>
      </c>
      <c r="T136" s="1" t="str">
        <v/>
      </c>
      <c r="U136" s="1" t="str">
        <v/>
      </c>
      <c r="V136" s="1" t="str">
        <v/>
      </c>
      <c r="W136" s="1" t="str">
        <v>Alta</v>
      </c>
      <c r="X136" s="1" t="str">
        <v/>
      </c>
      <c r="Y136" s="1" t="str">
        <v/>
      </c>
      <c r="Z136" s="1" t="str">
        <v>2026-06-30</v>
      </c>
      <c r="AA136" s="1" t="str">
        <v/>
      </c>
      <c r="AB136" s="1" t="str">
        <v/>
      </c>
      <c r="AC136" s="1" t="str">
        <v>Proyecto en negociaciones con proveedor, se contratará un Arquitecto para hacer el diseño, Interconexion entregará esta API en Q4</v>
      </c>
      <c r="AD136" s="1" t="str">
        <v/>
      </c>
      <c r="AE136" s="1" t="str">
        <v/>
      </c>
      <c r="AF136" s="1" t="str">
        <v/>
      </c>
      <c r="AG136" s="1" t="str">
        <v>Finalizado</v>
      </c>
      <c r="AH136" s="1" t="str">
        <v>Finalizado</v>
      </c>
      <c r="AI136" s="1" t="str">
        <v/>
      </c>
      <c r="AJ136" s="1" t="str">
        <v/>
      </c>
      <c r="AK136" s="1" t="str">
        <v/>
      </c>
      <c r="AL136" s="1" t="str">
        <v/>
      </c>
    </row>
    <row r="137">
      <c r="A137" s="1" t="str">
        <v>HIST-0136</v>
      </c>
      <c r="B137" s="1" t="str">
        <v>D0100</v>
      </c>
      <c r="C137" s="1" t="str">
        <v>Solución de Cobranzas (DC&amp;RS)</v>
      </c>
      <c r="D137" s="1" t="str">
        <v/>
      </c>
      <c r="E137" s="1" t="str">
        <v/>
      </c>
      <c r="F137" s="1" t="str">
        <v/>
      </c>
      <c r="G137" s="1" t="str">
        <v>Augusto Cabrera / Henry Aguinaga</v>
      </c>
      <c r="H137" s="1" t="str">
        <v/>
      </c>
      <c r="I137" s="1" t="str">
        <v>Carlos Sotomayor</v>
      </c>
      <c r="J137" s="1" t="str">
        <v>Gustavo Ramos</v>
      </c>
      <c r="K137" s="1" t="str">
        <v>Roberto Duarez</v>
      </c>
      <c r="L137" s="1" t="str">
        <v/>
      </c>
      <c r="M137" s="1" t="str">
        <v>2026-07-07</v>
      </c>
      <c r="N137" s="1" t="str">
        <v/>
      </c>
      <c r="O137" s="1" t="str">
        <v/>
      </c>
      <c r="P137" s="1" t="str">
        <v/>
      </c>
      <c r="Q137" s="1" t="str">
        <v>TBD</v>
      </c>
      <c r="R137" s="1" t="str">
        <f>IF(Q137="","","Q"&amp;ROUNDUP(MONTH(Q137)/3,0)&amp;"-"&amp;YEAR(Q137))</f>
        <v/>
      </c>
      <c r="S137" s="1" t="str">
        <v>Identificado</v>
      </c>
      <c r="T137" s="1" t="str">
        <v/>
      </c>
      <c r="U137" s="1" t="str">
        <v/>
      </c>
      <c r="V137" s="1" t="str">
        <v/>
      </c>
      <c r="W137" s="1" t="str">
        <v>Alta</v>
      </c>
      <c r="X137" s="1" t="str">
        <v/>
      </c>
      <c r="Y137" s="1" t="str">
        <v/>
      </c>
      <c r="Z137" s="1" t="str">
        <v>2026-06-30</v>
      </c>
      <c r="AA137" s="1" t="str">
        <v/>
      </c>
      <c r="AB137" s="1" t="str">
        <v/>
      </c>
      <c r="AC137" s="1" t="str">
        <v>Proyecto en negociaciones con proveedor, se contratará un Arquitecto para hacer el diseño</v>
      </c>
      <c r="AD137" s="1" t="str">
        <v/>
      </c>
      <c r="AE137" s="1" t="str">
        <v/>
      </c>
      <c r="AF137" s="1" t="str">
        <v/>
      </c>
      <c r="AG137" s="1" t="str">
        <v>Finalizado</v>
      </c>
      <c r="AH137" s="1" t="str">
        <v>Finalizado</v>
      </c>
      <c r="AI137" s="1" t="str">
        <v/>
      </c>
      <c r="AJ137" s="1" t="str">
        <v/>
      </c>
      <c r="AK137" s="1" t="str">
        <v/>
      </c>
      <c r="AL137" s="1" t="str">
        <v/>
      </c>
    </row>
    <row r="138">
      <c r="A138" s="1" t="str">
        <v>HIST-0137</v>
      </c>
      <c r="B138" s="1" t="str">
        <v>D0101</v>
      </c>
      <c r="C138" s="1" t="str">
        <v>Solución de Cobranzas (DC&amp;RS)</v>
      </c>
      <c r="D138" s="1" t="str">
        <v/>
      </c>
      <c r="E138" s="1" t="str">
        <v/>
      </c>
      <c r="F138" s="1" t="str">
        <v/>
      </c>
      <c r="G138" s="1" t="str">
        <v>Augusto Cabrera / Henry Aguinaga</v>
      </c>
      <c r="H138" s="1" t="str">
        <v/>
      </c>
      <c r="I138" s="1" t="str">
        <v>Carlos Sotomayor</v>
      </c>
      <c r="J138" s="1" t="str">
        <v>Gustavo Ramos</v>
      </c>
      <c r="K138" s="1" t="str">
        <v>Roberto Duarez</v>
      </c>
      <c r="L138" s="1" t="str">
        <v/>
      </c>
      <c r="M138" s="1" t="str">
        <v>2026-07-07</v>
      </c>
      <c r="N138" s="1" t="str">
        <v/>
      </c>
      <c r="O138" s="1" t="str">
        <v/>
      </c>
      <c r="P138" s="1" t="str">
        <v/>
      </c>
      <c r="Q138" s="1" t="str">
        <v>TBD</v>
      </c>
      <c r="R138" s="1" t="str">
        <f>IF(Q138="","","Q"&amp;ROUNDUP(MONTH(Q138)/3,0)&amp;"-"&amp;YEAR(Q138))</f>
        <v/>
      </c>
      <c r="S138" s="1" t="str">
        <v>Identificado</v>
      </c>
      <c r="T138" s="1" t="str">
        <v/>
      </c>
      <c r="U138" s="1" t="str">
        <v/>
      </c>
      <c r="V138" s="1" t="str">
        <v/>
      </c>
      <c r="W138" s="1" t="str">
        <v>Alta</v>
      </c>
      <c r="X138" s="1" t="str">
        <v/>
      </c>
      <c r="Y138" s="1" t="str">
        <v/>
      </c>
      <c r="Z138" s="1" t="str">
        <v>2026-06-30</v>
      </c>
      <c r="AA138" s="1" t="str">
        <v/>
      </c>
      <c r="AB138" s="1" t="str">
        <v/>
      </c>
      <c r="AC138" s="1" t="str">
        <v>Proyecto en negociaciones con proveedor, se contratará un Arquitecto para hacer el diseño</v>
      </c>
      <c r="AD138" s="1" t="str">
        <v/>
      </c>
      <c r="AE138" s="1" t="str">
        <v/>
      </c>
      <c r="AF138" s="1" t="str">
        <v/>
      </c>
      <c r="AG138" s="1" t="str">
        <v>Finalizado</v>
      </c>
      <c r="AH138" s="1" t="str">
        <v>Finalizado</v>
      </c>
      <c r="AI138" s="1" t="str">
        <v/>
      </c>
      <c r="AJ138" s="1" t="str">
        <v/>
      </c>
      <c r="AK138" s="1" t="str">
        <v/>
      </c>
      <c r="AL138" s="1" t="str">
        <v/>
      </c>
    </row>
    <row r="139">
      <c r="A139" s="1" t="str">
        <v>HIST-0138</v>
      </c>
      <c r="B139" s="1" t="str">
        <v>D0006</v>
      </c>
      <c r="C139" s="1" t="str">
        <v>Solución de Cobranzas (DC&amp;RS)</v>
      </c>
      <c r="D139" s="1" t="str">
        <v/>
      </c>
      <c r="E139" s="1" t="str">
        <v/>
      </c>
      <c r="F139" s="1" t="str">
        <v/>
      </c>
      <c r="G139" s="1" t="str">
        <v>Augusto Cabrera / Henry Aguinaga</v>
      </c>
      <c r="H139" s="1" t="str">
        <v/>
      </c>
      <c r="I139" s="1" t="str">
        <v>Carlos Sotomayor</v>
      </c>
      <c r="J139" s="1" t="str">
        <v>Gustavo Ramos</v>
      </c>
      <c r="K139" s="1" t="str">
        <v>Roberto Duarez</v>
      </c>
      <c r="L139" s="1" t="str">
        <v/>
      </c>
      <c r="M139" s="1" t="str">
        <v>2026-07-07</v>
      </c>
      <c r="N139" s="1" t="str">
        <v/>
      </c>
      <c r="O139" s="1" t="str">
        <v/>
      </c>
      <c r="P139" s="1" t="str">
        <v/>
      </c>
      <c r="Q139" s="1" t="str">
        <v>TBD</v>
      </c>
      <c r="R139" s="1" t="str">
        <f>IF(Q139="","","Q"&amp;ROUNDUP(MONTH(Q139)/3,0)&amp;"-"&amp;YEAR(Q139))</f>
        <v/>
      </c>
      <c r="S139" s="1" t="str">
        <v>Identificado</v>
      </c>
      <c r="T139" s="1" t="str">
        <v/>
      </c>
      <c r="U139" s="1" t="str">
        <v/>
      </c>
      <c r="V139" s="1" t="str">
        <v/>
      </c>
      <c r="W139" s="1" t="str">
        <v>Alta</v>
      </c>
      <c r="X139" s="1" t="str">
        <v/>
      </c>
      <c r="Y139" s="1" t="str">
        <v/>
      </c>
      <c r="Z139" s="1" t="str">
        <v>2026-07-07</v>
      </c>
      <c r="AA139" s="1" t="str">
        <v/>
      </c>
      <c r="AB139" s="1" t="str">
        <v/>
      </c>
      <c r="AC139" s="1" t="str">
        <v>Proyecto en negociaciones con proveedor, se contratará un Arquitecto para hacer el diseño</v>
      </c>
      <c r="AD139" s="1" t="str">
        <v/>
      </c>
      <c r="AE139" s="1" t="str">
        <v/>
      </c>
      <c r="AF139" s="1" t="str">
        <v/>
      </c>
      <c r="AG139" s="1" t="str">
        <v>Finalizado</v>
      </c>
      <c r="AH139" s="1" t="str">
        <v>Finalizado</v>
      </c>
      <c r="AI139" s="1" t="str">
        <v/>
      </c>
      <c r="AJ139" s="1" t="str">
        <v/>
      </c>
      <c r="AK139" s="1" t="str">
        <v/>
      </c>
      <c r="AL139" s="1" t="str">
        <v/>
      </c>
    </row>
    <row r="140">
      <c r="A140" s="1" t="str">
        <v>HIST-0139</v>
      </c>
      <c r="B140" s="1" t="str">
        <v>D0001</v>
      </c>
      <c r="C140" s="1" t="str">
        <v>Solución de Cobranzas (DC&amp;RS)</v>
      </c>
      <c r="D140" s="1" t="str">
        <v/>
      </c>
      <c r="E140" s="1" t="str">
        <v/>
      </c>
      <c r="F140" s="1" t="str">
        <v/>
      </c>
      <c r="G140" s="1" t="str">
        <v>Augusto Cabrera / Henry Aguinaga</v>
      </c>
      <c r="H140" s="1" t="str">
        <v/>
      </c>
      <c r="I140" s="1" t="str">
        <v>Carlos Sotomayor</v>
      </c>
      <c r="J140" s="1" t="str">
        <v>Gustavo Ramos</v>
      </c>
      <c r="K140" s="1" t="str">
        <v>Roberto Duarez</v>
      </c>
      <c r="L140" s="1" t="str">
        <v/>
      </c>
      <c r="M140" s="1" t="str">
        <v>2026-07-07</v>
      </c>
      <c r="N140" s="1" t="str">
        <v/>
      </c>
      <c r="O140" s="1" t="str">
        <v/>
      </c>
      <c r="P140" s="1" t="str">
        <v/>
      </c>
      <c r="Q140" s="1" t="str">
        <v>TBD</v>
      </c>
      <c r="R140" s="1" t="str">
        <f>IF(Q140="","","Q"&amp;ROUNDUP(MONTH(Q140)/3,0)&amp;"-"&amp;YEAR(Q140))</f>
        <v/>
      </c>
      <c r="S140" s="1" t="str">
        <v>Identificado</v>
      </c>
      <c r="T140" s="1" t="str">
        <v/>
      </c>
      <c r="U140" s="1" t="str">
        <v/>
      </c>
      <c r="V140" s="1" t="str">
        <v/>
      </c>
      <c r="W140" s="1" t="str">
        <v>Alta</v>
      </c>
      <c r="X140" s="1" t="str">
        <v/>
      </c>
      <c r="Y140" s="1" t="str">
        <v/>
      </c>
      <c r="Z140" s="1" t="str">
        <v>2026-07-07</v>
      </c>
      <c r="AA140" s="1" t="str">
        <v/>
      </c>
      <c r="AB140" s="1" t="str">
        <v/>
      </c>
      <c r="AC140" s="1" t="str">
        <v>Proyecto en negociaciones con proveedor, se contratará un Arquitecto para hacer el diseño</v>
      </c>
      <c r="AD140" s="1" t="str">
        <v/>
      </c>
      <c r="AE140" s="1" t="str">
        <v/>
      </c>
      <c r="AF140" s="1" t="str">
        <v/>
      </c>
      <c r="AG140" s="1" t="str">
        <v>Finalizado</v>
      </c>
      <c r="AH140" s="1" t="str">
        <v>Finalizado</v>
      </c>
      <c r="AI140" s="1" t="str">
        <v/>
      </c>
      <c r="AJ140" s="1" t="str">
        <v/>
      </c>
      <c r="AK140" s="1" t="str">
        <v/>
      </c>
      <c r="AL140" s="1" t="str">
        <v/>
      </c>
    </row>
    <row r="141">
      <c r="A141" s="1" t="str">
        <v>HIST-0140</v>
      </c>
      <c r="B141" s="1" t="str">
        <v>D0029</v>
      </c>
      <c r="C141" s="1" t="str">
        <v>Solución de Cobranzas (DC&amp;RS)</v>
      </c>
      <c r="D141" s="1" t="str">
        <v/>
      </c>
      <c r="E141" s="1" t="str">
        <v/>
      </c>
      <c r="F141" s="1" t="str">
        <v/>
      </c>
      <c r="G141" s="1" t="str">
        <v>Augusto Cabrera / Henry Aguinaga</v>
      </c>
      <c r="H141" s="1" t="str">
        <v/>
      </c>
      <c r="I141" s="1" t="str">
        <v>Carlos Sotomayor</v>
      </c>
      <c r="J141" s="1" t="str">
        <v>Gustavo Ramos</v>
      </c>
      <c r="K141" s="1" t="str">
        <v>Roberto Duarez</v>
      </c>
      <c r="L141" s="1" t="str">
        <v/>
      </c>
      <c r="M141" s="1" t="str">
        <v>2026-07-07</v>
      </c>
      <c r="N141" s="1" t="str">
        <v/>
      </c>
      <c r="O141" s="1" t="str">
        <v/>
      </c>
      <c r="P141" s="1" t="str">
        <v/>
      </c>
      <c r="Q141" s="1" t="str">
        <v>TBD</v>
      </c>
      <c r="R141" s="1" t="str">
        <f>IF(Q141="","","Q"&amp;ROUNDUP(MONTH(Q141)/3,0)&amp;"-"&amp;YEAR(Q141))</f>
        <v/>
      </c>
      <c r="S141" s="1" t="str">
        <v>Identificado</v>
      </c>
      <c r="T141" s="1" t="str">
        <v/>
      </c>
      <c r="U141" s="1" t="str">
        <v/>
      </c>
      <c r="V141" s="1" t="str">
        <v/>
      </c>
      <c r="W141" s="1" t="str">
        <v>Alta</v>
      </c>
      <c r="X141" s="1" t="str">
        <v/>
      </c>
      <c r="Y141" s="1" t="str">
        <v/>
      </c>
      <c r="Z141" s="1" t="str">
        <v/>
      </c>
      <c r="AA141" s="1" t="str">
        <v/>
      </c>
      <c r="AB141" s="1" t="str">
        <v/>
      </c>
      <c r="AC141" s="1" t="str">
        <v>Proyecto en negociaciones con proveedor, se contratará un Arquitecto para hacer el diseño</v>
      </c>
      <c r="AD141" s="1" t="str">
        <v/>
      </c>
      <c r="AE141" s="1" t="str">
        <v/>
      </c>
      <c r="AF141" s="1" t="str">
        <v/>
      </c>
      <c r="AG141" s="1" t="str">
        <v/>
      </c>
      <c r="AH141" s="1" t="str">
        <v/>
      </c>
      <c r="AI141" s="1" t="str">
        <v/>
      </c>
      <c r="AJ141" s="1" t="str">
        <v/>
      </c>
      <c r="AK141" s="1" t="str">
        <v/>
      </c>
      <c r="AL141" s="1" t="str">
        <v/>
      </c>
    </row>
    <row r="142">
      <c r="A142" s="1" t="str">
        <v>HIST-0141</v>
      </c>
      <c r="B142" s="1" t="str">
        <v>D0031</v>
      </c>
      <c r="C142" s="1" t="str">
        <v>Solución de Cobranzas (DC&amp;RS)</v>
      </c>
      <c r="D142" s="1" t="str">
        <v/>
      </c>
      <c r="E142" s="1" t="str">
        <v/>
      </c>
      <c r="F142" s="1" t="str">
        <v/>
      </c>
      <c r="G142" s="1" t="str">
        <v>Augusto Cabrera / Henry Aguinaga</v>
      </c>
      <c r="H142" s="1" t="str">
        <v/>
      </c>
      <c r="I142" s="1" t="str">
        <v>Carlos Sotomayor</v>
      </c>
      <c r="J142" s="1" t="str">
        <v>Gustavo Ramos</v>
      </c>
      <c r="K142" s="1" t="str">
        <v>Roberto Duarez</v>
      </c>
      <c r="L142" s="1" t="str">
        <v/>
      </c>
      <c r="M142" s="1" t="str">
        <v>2026-07-07</v>
      </c>
      <c r="N142" s="1" t="str">
        <v/>
      </c>
      <c r="O142" s="1" t="str">
        <v/>
      </c>
      <c r="P142" s="1" t="str">
        <v/>
      </c>
      <c r="Q142" s="1" t="str">
        <v>TBD</v>
      </c>
      <c r="R142" s="1" t="str">
        <f>IF(Q142="","","Q"&amp;ROUNDUP(MONTH(Q142)/3,0)&amp;"-"&amp;YEAR(Q142))</f>
        <v/>
      </c>
      <c r="S142" s="1" t="str">
        <v>Identificado</v>
      </c>
      <c r="T142" s="1" t="str">
        <v/>
      </c>
      <c r="U142" s="1" t="str">
        <v/>
      </c>
      <c r="V142" s="1" t="str">
        <v/>
      </c>
      <c r="W142" s="1" t="str">
        <v>Alta</v>
      </c>
      <c r="X142" s="1" t="str">
        <v/>
      </c>
      <c r="Y142" s="1" t="str">
        <v/>
      </c>
      <c r="Z142" s="1" t="str">
        <v/>
      </c>
      <c r="AA142" s="1" t="str">
        <v/>
      </c>
      <c r="AB142" s="1" t="str">
        <v/>
      </c>
      <c r="AC142" s="1" t="str">
        <v>Proyecto en negociaciones con proveedor, se contratará un Arquitecto para hacer el diseño</v>
      </c>
      <c r="AD142" s="1" t="str">
        <v/>
      </c>
      <c r="AE142" s="1" t="str">
        <v/>
      </c>
      <c r="AF142" s="1" t="str">
        <v/>
      </c>
      <c r="AG142" s="1" t="str">
        <v/>
      </c>
      <c r="AH142" s="1" t="str">
        <v/>
      </c>
      <c r="AI142" s="1" t="str">
        <v/>
      </c>
      <c r="AJ142" s="1" t="str">
        <v/>
      </c>
      <c r="AK142" s="1" t="str">
        <v/>
      </c>
      <c r="AL142" s="1" t="str">
        <v/>
      </c>
    </row>
    <row r="143">
      <c r="A143" s="1" t="str">
        <v>HIST-0142</v>
      </c>
      <c r="B143" s="1" t="str">
        <v>D0036</v>
      </c>
      <c r="C143" s="1" t="str">
        <v>Solución de Cobranzas (DC&amp;RS)</v>
      </c>
      <c r="D143" s="1" t="str">
        <v/>
      </c>
      <c r="E143" s="1" t="str">
        <v/>
      </c>
      <c r="F143" s="1" t="str">
        <v/>
      </c>
      <c r="G143" s="1" t="str">
        <v>Augusto Cabrera / Henry Aguinaga</v>
      </c>
      <c r="H143" s="1" t="str">
        <v/>
      </c>
      <c r="I143" s="1" t="str">
        <v>Carlos Sotomayor</v>
      </c>
      <c r="J143" s="1" t="str">
        <v>Gustavo Ramos</v>
      </c>
      <c r="K143" s="1" t="str">
        <v>Roberto Duarez</v>
      </c>
      <c r="L143" s="1" t="str">
        <v/>
      </c>
      <c r="M143" s="1" t="str">
        <v>2026-07-07</v>
      </c>
      <c r="N143" s="1" t="str">
        <v/>
      </c>
      <c r="O143" s="1" t="str">
        <v/>
      </c>
      <c r="P143" s="1" t="str">
        <v/>
      </c>
      <c r="Q143" s="1" t="str">
        <v>TBD</v>
      </c>
      <c r="R143" s="1" t="str">
        <f>IF(Q143="","","Q"&amp;ROUNDUP(MONTH(Q143)/3,0)&amp;"-"&amp;YEAR(Q143))</f>
        <v/>
      </c>
      <c r="S143" s="1" t="str">
        <v>Identificado</v>
      </c>
      <c r="T143" s="1" t="str">
        <v/>
      </c>
      <c r="U143" s="1" t="str">
        <v/>
      </c>
      <c r="V143" s="1" t="str">
        <v/>
      </c>
      <c r="W143" s="1" t="str">
        <v>Alta</v>
      </c>
      <c r="X143" s="1" t="str">
        <v/>
      </c>
      <c r="Y143" s="1" t="str">
        <v/>
      </c>
      <c r="Z143" s="1" t="str">
        <v>2026-07-08</v>
      </c>
      <c r="AA143" s="1" t="str">
        <v/>
      </c>
      <c r="AB143" s="1" t="str">
        <v/>
      </c>
      <c r="AC143" s="1" t="str">
        <v>Proyecto en negociaciones con proveedor, se contratará un Arquitecto para hacer el diseño</v>
      </c>
      <c r="AD143" s="1" t="str">
        <v/>
      </c>
      <c r="AE143" s="1" t="str">
        <v/>
      </c>
      <c r="AF143" s="1" t="str">
        <v/>
      </c>
      <c r="AG143" s="1" t="str">
        <v/>
      </c>
      <c r="AH143" s="1" t="str">
        <v/>
      </c>
      <c r="AI143" s="1" t="str">
        <v/>
      </c>
      <c r="AJ143" s="1" t="str">
        <v/>
      </c>
      <c r="AK143" s="1" t="str">
        <v/>
      </c>
      <c r="AL143" s="1" t="str">
        <v/>
      </c>
    </row>
    <row r="144">
      <c r="A144" s="1" t="str">
        <v>HIST-0143</v>
      </c>
      <c r="B144" s="1" t="str">
        <v>D0102</v>
      </c>
      <c r="C144" s="1" t="str">
        <v>Solución de Cobranzas (DC&amp;RS)</v>
      </c>
      <c r="D144" s="1" t="str">
        <v/>
      </c>
      <c r="E144" s="1" t="str">
        <v/>
      </c>
      <c r="F144" s="1" t="str">
        <v/>
      </c>
      <c r="G144" s="1" t="str">
        <v>Augusto Cabrera / Henry Aguinaga</v>
      </c>
      <c r="H144" s="1" t="str">
        <v/>
      </c>
      <c r="I144" s="1" t="str">
        <v>Carlos Sotomayor</v>
      </c>
      <c r="J144" s="1" t="str">
        <v>Gustavo Ramos</v>
      </c>
      <c r="K144" s="1" t="str">
        <v>Roberto Duarez</v>
      </c>
      <c r="L144" s="1" t="str">
        <v/>
      </c>
      <c r="M144" s="1" t="str">
        <v>2026-07-07</v>
      </c>
      <c r="N144" s="1" t="str">
        <v/>
      </c>
      <c r="O144" s="1" t="str">
        <v/>
      </c>
      <c r="P144" s="1" t="str">
        <v/>
      </c>
      <c r="Q144" s="1" t="str">
        <v>TBD</v>
      </c>
      <c r="R144" s="1" t="str">
        <f>IF(Q144="","","Q"&amp;ROUNDUP(MONTH(Q144)/3,0)&amp;"-"&amp;YEAR(Q144))</f>
        <v/>
      </c>
      <c r="S144" s="1" t="str">
        <v>Identificado</v>
      </c>
      <c r="T144" s="1" t="str">
        <v/>
      </c>
      <c r="U144" s="1" t="str">
        <v/>
      </c>
      <c r="V144" s="1" t="str">
        <v/>
      </c>
      <c r="W144" s="1" t="str">
        <v>Alta</v>
      </c>
      <c r="X144" s="1" t="str">
        <v/>
      </c>
      <c r="Y144" s="1" t="str">
        <v/>
      </c>
      <c r="Z144" s="1" t="str">
        <v/>
      </c>
      <c r="AA144" s="1" t="str">
        <v/>
      </c>
      <c r="AB144" s="1" t="str">
        <v/>
      </c>
      <c r="AC144" s="1" t="str">
        <v>Proyecto en negociaciones con proveedor, se contratará un Arquitecto para hacer el diseño</v>
      </c>
      <c r="AD144" s="1" t="str">
        <v/>
      </c>
      <c r="AE144" s="1" t="str">
        <v/>
      </c>
      <c r="AF144" s="1" t="str">
        <v/>
      </c>
      <c r="AG144" s="1" t="str">
        <v/>
      </c>
      <c r="AH144" s="1" t="str">
        <v/>
      </c>
      <c r="AI144" s="1" t="str">
        <v/>
      </c>
      <c r="AJ144" s="1" t="str">
        <v/>
      </c>
      <c r="AK144" s="1" t="str">
        <v/>
      </c>
      <c r="AL144" s="1" t="str">
        <v/>
      </c>
    </row>
    <row r="145">
      <c r="A145" s="1" t="str">
        <v>HIST-0144</v>
      </c>
      <c r="B145" s="1" t="str">
        <v>D0035</v>
      </c>
      <c r="C145" s="1" t="str">
        <v>Solución de Cobranzas (DC&amp;RS)</v>
      </c>
      <c r="D145" s="1" t="str">
        <v/>
      </c>
      <c r="E145" s="1" t="str">
        <v/>
      </c>
      <c r="F145" s="1" t="str">
        <v/>
      </c>
      <c r="G145" s="1" t="str">
        <v>Augusto Cabrera / Henry Aguinaga</v>
      </c>
      <c r="H145" s="1" t="str">
        <v/>
      </c>
      <c r="I145" s="1" t="str">
        <v>Carlos Sotomayor</v>
      </c>
      <c r="J145" s="1" t="str">
        <v>Gustavo Ramos</v>
      </c>
      <c r="K145" s="1" t="str">
        <v>Roberto Duarez</v>
      </c>
      <c r="L145" s="1" t="str">
        <v/>
      </c>
      <c r="M145" s="1" t="str">
        <v>2026-07-07</v>
      </c>
      <c r="N145" s="1" t="str">
        <v/>
      </c>
      <c r="O145" s="1" t="str">
        <v/>
      </c>
      <c r="P145" s="1" t="str">
        <v/>
      </c>
      <c r="Q145" s="1" t="str">
        <v>TBD</v>
      </c>
      <c r="R145" s="1" t="str">
        <f>IF(Q145="","","Q"&amp;ROUNDUP(MONTH(Q145)/3,0)&amp;"-"&amp;YEAR(Q145))</f>
        <v/>
      </c>
      <c r="S145" s="1" t="str">
        <v>Identificado</v>
      </c>
      <c r="T145" s="1" t="str">
        <v/>
      </c>
      <c r="U145" s="1" t="str">
        <v/>
      </c>
      <c r="V145" s="1" t="str">
        <v/>
      </c>
      <c r="W145" s="1" t="str">
        <v>Alta</v>
      </c>
      <c r="X145" s="1" t="str">
        <v/>
      </c>
      <c r="Y145" s="1" t="str">
        <v/>
      </c>
      <c r="Z145" s="1" t="str">
        <v>2026-07-08</v>
      </c>
      <c r="AA145" s="1" t="str">
        <v/>
      </c>
      <c r="AB145" s="1" t="str">
        <v/>
      </c>
      <c r="AC145" s="1" t="str">
        <v>Proyecto en negociaciones con proveedor, se contratará un Arquitecto para hacer el diseño</v>
      </c>
      <c r="AD145" s="1" t="str">
        <v/>
      </c>
      <c r="AE145" s="1" t="str">
        <v/>
      </c>
      <c r="AF145" s="1" t="str">
        <v/>
      </c>
      <c r="AG145" s="1" t="str">
        <v/>
      </c>
      <c r="AH145" s="1" t="str">
        <v/>
      </c>
      <c r="AI145" s="1" t="str">
        <v/>
      </c>
      <c r="AJ145" s="1" t="str">
        <v/>
      </c>
      <c r="AK145" s="1" t="str">
        <v/>
      </c>
      <c r="AL145" s="1" t="str">
        <v/>
      </c>
    </row>
    <row r="146">
      <c r="A146" s="1" t="str">
        <v>HIST-0145</v>
      </c>
      <c r="B146" s="1" t="str">
        <v>D0024</v>
      </c>
      <c r="C146" s="1" t="str">
        <v>Solución de Cobranzas (DC&amp;RS)</v>
      </c>
      <c r="D146" s="1" t="str">
        <v/>
      </c>
      <c r="E146" s="1" t="str">
        <v/>
      </c>
      <c r="F146" s="1" t="str">
        <v/>
      </c>
      <c r="G146" s="1" t="str">
        <v>Augusto Cabrera / Henry Aguinaga</v>
      </c>
      <c r="H146" s="1" t="str">
        <v/>
      </c>
      <c r="I146" s="1" t="str">
        <v>Carlos Sotomayor</v>
      </c>
      <c r="J146" s="1" t="str">
        <v>Gustavo Ramos</v>
      </c>
      <c r="K146" s="1" t="str">
        <v>Roberto Duarez</v>
      </c>
      <c r="L146" s="1" t="str">
        <v/>
      </c>
      <c r="M146" s="1" t="str">
        <v>2026-07-07</v>
      </c>
      <c r="N146" s="1" t="str">
        <v/>
      </c>
      <c r="O146" s="1" t="str">
        <v/>
      </c>
      <c r="P146" s="1" t="str">
        <v/>
      </c>
      <c r="Q146" s="1" t="str">
        <v>TBD</v>
      </c>
      <c r="R146" s="1" t="str">
        <f>IF(Q146="","","Q"&amp;ROUNDUP(MONTH(Q146)/3,0)&amp;"-"&amp;YEAR(Q146))</f>
        <v/>
      </c>
      <c r="S146" s="1" t="str">
        <v>Identificado</v>
      </c>
      <c r="T146" s="1" t="str">
        <v/>
      </c>
      <c r="U146" s="1" t="str">
        <v/>
      </c>
      <c r="V146" s="1" t="str">
        <v/>
      </c>
      <c r="W146" s="1" t="str">
        <v>Alta</v>
      </c>
      <c r="X146" s="1" t="str">
        <v/>
      </c>
      <c r="Y146" s="1" t="str">
        <v/>
      </c>
      <c r="Z146" s="1" t="str">
        <v/>
      </c>
      <c r="AA146" s="1" t="str">
        <v/>
      </c>
      <c r="AB146" s="1" t="str">
        <v/>
      </c>
      <c r="AC146" s="1" t="str">
        <v>Proyecto en negociaciones con proveedor, se contratará un Arquitecto para hacer el diseño</v>
      </c>
      <c r="AD146" s="1" t="str">
        <v/>
      </c>
      <c r="AE146" s="1" t="str">
        <v/>
      </c>
      <c r="AF146" s="1" t="str">
        <v/>
      </c>
      <c r="AG146" s="1" t="str">
        <v/>
      </c>
      <c r="AH146" s="1" t="str">
        <v/>
      </c>
      <c r="AI146" s="1" t="str">
        <v/>
      </c>
      <c r="AJ146" s="1" t="str">
        <v/>
      </c>
      <c r="AK146" s="1" t="str">
        <v/>
      </c>
      <c r="AL146" s="1" t="str">
        <v/>
      </c>
    </row>
    <row r="147">
      <c r="A147" s="1" t="str">
        <v>HIST-0146</v>
      </c>
      <c r="B147" s="1" t="str">
        <v>D0033</v>
      </c>
      <c r="C147" s="1" t="str">
        <v>Solución de Cobranzas (DC&amp;RS)</v>
      </c>
      <c r="D147" s="1" t="str">
        <v/>
      </c>
      <c r="E147" s="1" t="str">
        <v/>
      </c>
      <c r="F147" s="1" t="str">
        <v/>
      </c>
      <c r="G147" s="1" t="str">
        <v>Augusto Cabrera / Henry Aguinaga</v>
      </c>
      <c r="H147" s="1" t="str">
        <v/>
      </c>
      <c r="I147" s="1" t="str">
        <v>Carlos Sotomayor</v>
      </c>
      <c r="J147" s="1" t="str">
        <v>Gustavo Ramos</v>
      </c>
      <c r="K147" s="1" t="str">
        <v>Roberto Duarez</v>
      </c>
      <c r="L147" s="1" t="str">
        <v/>
      </c>
      <c r="M147" s="1" t="str">
        <v>2026-07-07</v>
      </c>
      <c r="N147" s="1" t="str">
        <v/>
      </c>
      <c r="O147" s="1" t="str">
        <v/>
      </c>
      <c r="P147" s="1" t="str">
        <v/>
      </c>
      <c r="Q147" s="1" t="str">
        <v>TBD</v>
      </c>
      <c r="R147" s="1" t="str">
        <f>IF(Q147="","","Q"&amp;ROUNDUP(MONTH(Q147)/3,0)&amp;"-"&amp;YEAR(Q147))</f>
        <v/>
      </c>
      <c r="S147" s="1" t="str">
        <v>Identificado</v>
      </c>
      <c r="T147" s="1" t="str">
        <v/>
      </c>
      <c r="U147" s="1" t="str">
        <v/>
      </c>
      <c r="V147" s="1" t="str">
        <v/>
      </c>
      <c r="W147" s="1" t="str">
        <v>Alta</v>
      </c>
      <c r="X147" s="1" t="str">
        <v/>
      </c>
      <c r="Y147" s="1" t="str">
        <v/>
      </c>
      <c r="Z147" s="1" t="str">
        <v>2026-07-08</v>
      </c>
      <c r="AA147" s="1" t="str">
        <v/>
      </c>
      <c r="AB147" s="1" t="str">
        <v/>
      </c>
      <c r="AC147" s="1" t="str">
        <v>Proyecto en negociaciones con proveedor, se contratará un Arquitecto para hacer el diseño</v>
      </c>
      <c r="AD147" s="1" t="str">
        <v/>
      </c>
      <c r="AE147" s="1" t="str">
        <v/>
      </c>
      <c r="AF147" s="1" t="str">
        <v/>
      </c>
      <c r="AG147" s="1" t="str">
        <v/>
      </c>
      <c r="AH147" s="1" t="str">
        <v/>
      </c>
      <c r="AI147" s="1" t="str">
        <v/>
      </c>
      <c r="AJ147" s="1" t="str">
        <v/>
      </c>
      <c r="AK147" s="1" t="str">
        <v/>
      </c>
      <c r="AL147" s="1" t="str">
        <v/>
      </c>
    </row>
    <row r="148">
      <c r="A148" s="1" t="str">
        <v>HIST-0147</v>
      </c>
      <c r="B148" s="1" t="str">
        <v>D0007</v>
      </c>
      <c r="C148" s="1" t="str">
        <v>Solución de Cobranzas (DC&amp;RS)</v>
      </c>
      <c r="D148" s="1" t="str">
        <v/>
      </c>
      <c r="E148" s="1" t="str">
        <v/>
      </c>
      <c r="F148" s="1" t="str">
        <v/>
      </c>
      <c r="G148" s="1" t="str">
        <v>Augusto Cabrera / Henry Aguinaga</v>
      </c>
      <c r="H148" s="1" t="str">
        <v/>
      </c>
      <c r="I148" s="1" t="str">
        <v>Carlos Sotomayor</v>
      </c>
      <c r="J148" s="1" t="str">
        <v>Gustavo Ramos</v>
      </c>
      <c r="K148" s="1" t="str">
        <v>Roberto Duarez</v>
      </c>
      <c r="L148" s="1" t="str">
        <v/>
      </c>
      <c r="M148" s="1" t="str">
        <v>2026-07-07</v>
      </c>
      <c r="N148" s="1" t="str">
        <v/>
      </c>
      <c r="O148" s="1" t="str">
        <v/>
      </c>
      <c r="P148" s="1" t="str">
        <v/>
      </c>
      <c r="Q148" s="1" t="str">
        <v>TBD</v>
      </c>
      <c r="R148" s="1" t="str">
        <f>IF(Q148="","","Q"&amp;ROUNDUP(MONTH(Q148)/3,0)&amp;"-"&amp;YEAR(Q148))</f>
        <v/>
      </c>
      <c r="S148" s="1" t="str">
        <v>Identificado</v>
      </c>
      <c r="T148" s="1" t="str">
        <v/>
      </c>
      <c r="U148" s="1" t="str">
        <v/>
      </c>
      <c r="V148" s="1" t="str">
        <v/>
      </c>
      <c r="W148" s="1" t="str">
        <v>Alta</v>
      </c>
      <c r="X148" s="1" t="str">
        <v/>
      </c>
      <c r="Y148" s="1" t="str">
        <v/>
      </c>
      <c r="Z148" s="1" t="str">
        <v>2026-07-07</v>
      </c>
      <c r="AA148" s="1" t="str">
        <v/>
      </c>
      <c r="AB148" s="1" t="str">
        <v/>
      </c>
      <c r="AC148" s="1" t="str">
        <v>Proyecto en negociaciones con proveedor, se contratará un Arquitecto para hacer el diseño</v>
      </c>
      <c r="AD148" s="1" t="str">
        <v/>
      </c>
      <c r="AE148" s="1" t="str">
        <v/>
      </c>
      <c r="AF148" s="1" t="str">
        <v/>
      </c>
      <c r="AG148" s="1" t="str">
        <v>En proceso</v>
      </c>
      <c r="AH148" s="1" t="str">
        <v/>
      </c>
      <c r="AI148" s="1" t="str">
        <v/>
      </c>
      <c r="AJ148" s="1" t="str">
        <v/>
      </c>
      <c r="AK148" s="1" t="str">
        <v/>
      </c>
      <c r="AL148" s="1" t="str">
        <v/>
      </c>
    </row>
    <row r="149">
      <c r="A149" s="1" t="str">
        <v>HIST-0148</v>
      </c>
      <c r="B149" s="1" t="str">
        <v>D0002</v>
      </c>
      <c r="C149" s="1" t="str">
        <v>Solución de Cobranzas (DC&amp;RS)</v>
      </c>
      <c r="D149" s="1" t="str">
        <v/>
      </c>
      <c r="E149" s="1" t="str">
        <v/>
      </c>
      <c r="F149" s="1" t="str">
        <v/>
      </c>
      <c r="G149" s="1" t="str">
        <v>Augusto Cabrera / Henry Aguinaga</v>
      </c>
      <c r="H149" s="1" t="str">
        <v/>
      </c>
      <c r="I149" s="1" t="str">
        <v>Carlos Sotomayor</v>
      </c>
      <c r="J149" s="1" t="str">
        <v>Gustavo Ramos</v>
      </c>
      <c r="K149" s="1" t="str">
        <v>Roberto Duarez</v>
      </c>
      <c r="L149" s="1" t="str">
        <v/>
      </c>
      <c r="M149" s="1" t="str">
        <v>2026-07-07</v>
      </c>
      <c r="N149" s="1" t="str">
        <v/>
      </c>
      <c r="O149" s="1" t="str">
        <v/>
      </c>
      <c r="P149" s="1" t="str">
        <v/>
      </c>
      <c r="Q149" s="1" t="str">
        <v>TBD</v>
      </c>
      <c r="R149" s="1" t="str">
        <f>IF(Q149="","","Q"&amp;ROUNDUP(MONTH(Q149)/3,0)&amp;"-"&amp;YEAR(Q149))</f>
        <v/>
      </c>
      <c r="S149" s="1" t="str">
        <v>Identificado</v>
      </c>
      <c r="T149" s="1" t="str">
        <v/>
      </c>
      <c r="U149" s="1" t="str">
        <v/>
      </c>
      <c r="V149" s="1" t="str">
        <v/>
      </c>
      <c r="W149" s="1" t="str">
        <v>Alta</v>
      </c>
      <c r="X149" s="1" t="str">
        <v/>
      </c>
      <c r="Y149" s="1" t="str">
        <v/>
      </c>
      <c r="Z149" s="1" t="str">
        <v>2026-07-07</v>
      </c>
      <c r="AA149" s="1" t="str">
        <v/>
      </c>
      <c r="AB149" s="1" t="str">
        <v/>
      </c>
      <c r="AC149" s="1" t="str">
        <v>Proyecto en negociaciones con proveedor, se contratará un Arquitecto para hacer el diseño</v>
      </c>
      <c r="AD149" s="1" t="str">
        <v/>
      </c>
      <c r="AE149" s="1" t="str">
        <v/>
      </c>
      <c r="AF149" s="1" t="str">
        <v/>
      </c>
      <c r="AG149" s="1" t="str">
        <v>Finalizado</v>
      </c>
      <c r="AH149" s="1" t="str">
        <v>Finalizado</v>
      </c>
      <c r="AI149" s="1" t="str">
        <v/>
      </c>
      <c r="AJ149" s="1" t="str">
        <v/>
      </c>
      <c r="AK149" s="1" t="str">
        <v/>
      </c>
      <c r="AL149" s="1" t="str">
        <v/>
      </c>
    </row>
    <row r="150">
      <c r="A150" s="1" t="str">
        <v>HIST-0149</v>
      </c>
      <c r="B150" s="1" t="str">
        <v>D0103</v>
      </c>
      <c r="C150" s="1" t="str">
        <v>Solución de Cobranzas (DC&amp;RS)</v>
      </c>
      <c r="D150" s="1" t="str">
        <v/>
      </c>
      <c r="E150" s="1" t="str">
        <v/>
      </c>
      <c r="F150" s="1" t="str">
        <v/>
      </c>
      <c r="G150" s="1" t="str">
        <v>Augusto Cabrera / Henry Aguinaga</v>
      </c>
      <c r="H150" s="1" t="str">
        <v/>
      </c>
      <c r="I150" s="1" t="str">
        <v>Carlos Sotomayor</v>
      </c>
      <c r="J150" s="1" t="str">
        <v>Gustavo Ramos</v>
      </c>
      <c r="K150" s="1" t="str">
        <v>Roberto Duarez</v>
      </c>
      <c r="L150" s="1" t="str">
        <v/>
      </c>
      <c r="M150" s="1" t="str">
        <v>2026-07-07</v>
      </c>
      <c r="N150" s="1" t="str">
        <v/>
      </c>
      <c r="O150" s="1" t="str">
        <v/>
      </c>
      <c r="P150" s="1" t="str">
        <v/>
      </c>
      <c r="Q150" s="1" t="str">
        <v>TBD</v>
      </c>
      <c r="R150" s="1" t="str">
        <f>IF(Q150="","","Q"&amp;ROUNDUP(MONTH(Q150)/3,0)&amp;"-"&amp;YEAR(Q150))</f>
        <v/>
      </c>
      <c r="S150" s="1" t="str">
        <v>Identificado</v>
      </c>
      <c r="T150" s="1" t="str">
        <v/>
      </c>
      <c r="U150" s="1" t="str">
        <v/>
      </c>
      <c r="V150" s="1" t="str">
        <v/>
      </c>
      <c r="W150" s="1" t="str">
        <v>Alta</v>
      </c>
      <c r="X150" s="1" t="str">
        <v/>
      </c>
      <c r="Y150" s="1" t="str">
        <v/>
      </c>
      <c r="Z150" s="1" t="str">
        <v>2026-06-30</v>
      </c>
      <c r="AA150" s="1" t="str">
        <v/>
      </c>
      <c r="AB150" s="1" t="str">
        <v/>
      </c>
      <c r="AC150" s="1" t="str">
        <v>Proyecto en negociaciones con proveedor, se contratará un Arquitecto para hacer el diseño</v>
      </c>
      <c r="AD150" s="1" t="str">
        <v/>
      </c>
      <c r="AE150" s="1" t="str">
        <v/>
      </c>
      <c r="AF150" s="1" t="str">
        <v/>
      </c>
      <c r="AG150" s="1" t="str">
        <v>Finalizado</v>
      </c>
      <c r="AH150" s="1" t="str">
        <v>Finalizado</v>
      </c>
      <c r="AI150" s="1" t="str">
        <v/>
      </c>
      <c r="AJ150" s="1" t="str">
        <v/>
      </c>
      <c r="AK150" s="1" t="str">
        <v/>
      </c>
      <c r="AL150" s="1" t="str">
        <v/>
      </c>
    </row>
    <row r="151">
      <c r="A151" s="1" t="str">
        <v>HIST-0150</v>
      </c>
      <c r="B151" s="1" t="str">
        <v>D0104</v>
      </c>
      <c r="C151" s="1" t="str">
        <v>Solución de Cobranzas (DC&amp;RS)</v>
      </c>
      <c r="D151" s="1" t="str">
        <v/>
      </c>
      <c r="E151" s="1" t="str">
        <v/>
      </c>
      <c r="F151" s="1" t="str">
        <v/>
      </c>
      <c r="G151" s="1" t="str">
        <v>Augusto Cabrera / Henry Aguinaga</v>
      </c>
      <c r="H151" s="1" t="str">
        <v/>
      </c>
      <c r="I151" s="1" t="str">
        <v>Carlos Sotomayor</v>
      </c>
      <c r="J151" s="1" t="str">
        <v>Gustavo Ramos</v>
      </c>
      <c r="K151" s="1" t="str">
        <v>Roberto Duarez</v>
      </c>
      <c r="L151" s="1" t="str">
        <v/>
      </c>
      <c r="M151" s="1" t="str">
        <v>2026-07-07</v>
      </c>
      <c r="N151" s="1" t="str">
        <v/>
      </c>
      <c r="O151" s="1" t="str">
        <v/>
      </c>
      <c r="P151" s="1" t="str">
        <v/>
      </c>
      <c r="Q151" s="1" t="str">
        <v>TBD</v>
      </c>
      <c r="R151" s="1" t="str">
        <f>IF(Q151="","","Q"&amp;ROUNDUP(MONTH(Q151)/3,0)&amp;"-"&amp;YEAR(Q151))</f>
        <v/>
      </c>
      <c r="S151" s="1" t="str">
        <v>Identificado</v>
      </c>
      <c r="T151" s="1" t="str">
        <v/>
      </c>
      <c r="U151" s="1" t="str">
        <v/>
      </c>
      <c r="V151" s="1" t="str">
        <v/>
      </c>
      <c r="W151" s="1" t="str">
        <v>Alta</v>
      </c>
      <c r="X151" s="1" t="str">
        <v/>
      </c>
      <c r="Y151" s="1" t="str">
        <v/>
      </c>
      <c r="Z151" s="1" t="str">
        <v>2026-06-30</v>
      </c>
      <c r="AA151" s="1" t="str">
        <v/>
      </c>
      <c r="AB151" s="1" t="str">
        <v/>
      </c>
      <c r="AC151" s="1" t="str">
        <v>Proyecto en negociaciones con proveedor, se contratará un Arquitecto para hacer el diseño</v>
      </c>
      <c r="AD151" s="1" t="str">
        <v/>
      </c>
      <c r="AE151" s="1" t="str">
        <v/>
      </c>
      <c r="AF151" s="1" t="str">
        <v/>
      </c>
      <c r="AG151" s="1" t="str">
        <v>Finalizado</v>
      </c>
      <c r="AH151" s="1" t="str">
        <v>Finalizado</v>
      </c>
      <c r="AI151" s="1" t="str">
        <v/>
      </c>
      <c r="AJ151" s="1" t="str">
        <v/>
      </c>
      <c r="AK151" s="1" t="str">
        <v/>
      </c>
      <c r="AL151" s="1" t="str">
        <v/>
      </c>
    </row>
    <row r="152">
      <c r="A152" s="1" t="str">
        <v>HIST-0151</v>
      </c>
      <c r="B152" s="1" t="str">
        <v>D0105</v>
      </c>
      <c r="C152" s="1" t="str">
        <v>Solución de Cobranzas (DC&amp;RS)</v>
      </c>
      <c r="D152" s="1" t="str">
        <v/>
      </c>
      <c r="E152" s="1" t="str">
        <v/>
      </c>
      <c r="F152" s="1" t="str">
        <v/>
      </c>
      <c r="G152" s="1" t="str">
        <v>Augusto Cabrera / Henry Aguinaga</v>
      </c>
      <c r="H152" s="1" t="str">
        <v/>
      </c>
      <c r="I152" s="1" t="str">
        <v>Carlos Sotomayor</v>
      </c>
      <c r="J152" s="1" t="str">
        <v>Gustavo Ramos</v>
      </c>
      <c r="K152" s="1" t="str">
        <v>Roberto Duarez</v>
      </c>
      <c r="L152" s="1" t="str">
        <v/>
      </c>
      <c r="M152" s="1" t="str">
        <v>2026-07-07</v>
      </c>
      <c r="N152" s="1" t="str">
        <v/>
      </c>
      <c r="O152" s="1" t="str">
        <v/>
      </c>
      <c r="P152" s="1" t="str">
        <v/>
      </c>
      <c r="Q152" s="1" t="str">
        <v>TBD</v>
      </c>
      <c r="R152" s="1" t="str">
        <f>IF(Q152="","","Q"&amp;ROUNDUP(MONTH(Q152)/3,0)&amp;"-"&amp;YEAR(Q152))</f>
        <v/>
      </c>
      <c r="S152" s="1" t="str">
        <v>Identificado</v>
      </c>
      <c r="T152" s="1" t="str">
        <v/>
      </c>
      <c r="U152" s="1" t="str">
        <v/>
      </c>
      <c r="V152" s="1" t="str">
        <v/>
      </c>
      <c r="W152" s="1" t="str">
        <v>Alta</v>
      </c>
      <c r="X152" s="1" t="str">
        <v/>
      </c>
      <c r="Y152" s="1" t="str">
        <v/>
      </c>
      <c r="Z152" s="1" t="str">
        <v>2026-06-30</v>
      </c>
      <c r="AA152" s="1" t="str">
        <v/>
      </c>
      <c r="AB152" s="1" t="str">
        <v/>
      </c>
      <c r="AC152" s="1" t="str">
        <v>Proyecto en negociaciones con proveedor, se contratará un Arquitecto para hacer el diseño</v>
      </c>
      <c r="AD152" s="1" t="str">
        <v/>
      </c>
      <c r="AE152" s="1" t="str">
        <v/>
      </c>
      <c r="AF152" s="1" t="str">
        <v/>
      </c>
      <c r="AG152" s="1" t="str">
        <v/>
      </c>
      <c r="AH152" s="1" t="str">
        <v/>
      </c>
      <c r="AI152" s="1" t="str">
        <v/>
      </c>
      <c r="AJ152" s="1" t="str">
        <v/>
      </c>
      <c r="AK152" s="1" t="str">
        <v/>
      </c>
      <c r="AL152" s="1" t="str">
        <v/>
      </c>
    </row>
    <row r="153">
      <c r="A153" s="1" t="str">
        <v>HIST-0152</v>
      </c>
      <c r="B153" s="1" t="str">
        <v>D0106</v>
      </c>
      <c r="C153" s="1" t="str">
        <v>Solución de Cobranzas (DC&amp;RS)</v>
      </c>
      <c r="D153" s="1" t="str">
        <v/>
      </c>
      <c r="E153" s="1" t="str">
        <v/>
      </c>
      <c r="F153" s="1" t="str">
        <v/>
      </c>
      <c r="G153" s="1" t="str">
        <v>Augusto Cabrera / Henry Aguinaga</v>
      </c>
      <c r="H153" s="1" t="str">
        <v/>
      </c>
      <c r="I153" s="1" t="str">
        <v>Carlos Sotomayor</v>
      </c>
      <c r="J153" s="1" t="str">
        <v>Gustavo Ramos</v>
      </c>
      <c r="K153" s="1" t="str">
        <v>Roberto Duarez</v>
      </c>
      <c r="L153" s="1" t="str">
        <v/>
      </c>
      <c r="M153" s="1" t="str">
        <v>2026-07-07</v>
      </c>
      <c r="N153" s="1" t="str">
        <v/>
      </c>
      <c r="O153" s="1" t="str">
        <v/>
      </c>
      <c r="P153" s="1" t="str">
        <v/>
      </c>
      <c r="Q153" s="1" t="str">
        <v>TBD</v>
      </c>
      <c r="R153" s="1" t="str">
        <f>IF(Q153="","","Q"&amp;ROUNDUP(MONTH(Q153)/3,0)&amp;"-"&amp;YEAR(Q153))</f>
        <v/>
      </c>
      <c r="S153" s="1" t="str">
        <v>Identificado</v>
      </c>
      <c r="T153" s="1" t="str">
        <v/>
      </c>
      <c r="U153" s="1" t="str">
        <v/>
      </c>
      <c r="V153" s="1" t="str">
        <v/>
      </c>
      <c r="W153" s="1" t="str">
        <v>Alta</v>
      </c>
      <c r="X153" s="1" t="str">
        <v/>
      </c>
      <c r="Y153" s="1" t="str">
        <v/>
      </c>
      <c r="Z153" s="1" t="str">
        <v>2026-06-30</v>
      </c>
      <c r="AA153" s="1" t="str">
        <v/>
      </c>
      <c r="AB153" s="1" t="str">
        <v/>
      </c>
      <c r="AC153" s="1" t="str">
        <v>Proyecto en negociaciones con proveedor, se contratará un Arquitecto para hacer el diseño</v>
      </c>
      <c r="AD153" s="1" t="str">
        <v/>
      </c>
      <c r="AE153" s="1" t="str">
        <v/>
      </c>
      <c r="AF153" s="1" t="str">
        <v/>
      </c>
      <c r="AG153" s="1" t="str">
        <v>Finalizado</v>
      </c>
      <c r="AH153" s="1" t="str">
        <v>Finalizado</v>
      </c>
      <c r="AI153" s="1" t="str">
        <v/>
      </c>
      <c r="AJ153" s="1" t="str">
        <v/>
      </c>
      <c r="AK153" s="1" t="str">
        <v/>
      </c>
      <c r="AL153" s="1" t="str">
        <v/>
      </c>
    </row>
    <row r="154">
      <c r="A154" s="1" t="str">
        <v>HIST-0153</v>
      </c>
      <c r="B154" s="1" t="str">
        <v>D0020</v>
      </c>
      <c r="C154" s="1" t="str">
        <v>Solución de Cobranzas (DC&amp;RS)</v>
      </c>
      <c r="D154" s="1" t="str">
        <v/>
      </c>
      <c r="E154" s="1" t="str">
        <v/>
      </c>
      <c r="F154" s="1" t="str">
        <v/>
      </c>
      <c r="G154" s="1" t="str">
        <v>Augusto Cabrera / Henry Aguinaga</v>
      </c>
      <c r="H154" s="1" t="str">
        <v/>
      </c>
      <c r="I154" s="1" t="str">
        <v>Carlos Sotomayor</v>
      </c>
      <c r="J154" s="1" t="str">
        <v>Gustavo Ramos</v>
      </c>
      <c r="K154" s="1" t="str">
        <v>Roberto Duarez</v>
      </c>
      <c r="L154" s="1" t="str">
        <v/>
      </c>
      <c r="M154" s="1" t="str">
        <v>2026-07-07</v>
      </c>
      <c r="N154" s="1" t="str">
        <v/>
      </c>
      <c r="O154" s="1" t="str">
        <v/>
      </c>
      <c r="P154" s="1" t="str">
        <v/>
      </c>
      <c r="Q154" s="1" t="str">
        <v>TBD</v>
      </c>
      <c r="R154" s="1" t="str">
        <f>IF(Q154="","","Q"&amp;ROUNDUP(MONTH(Q154)/3,0)&amp;"-"&amp;YEAR(Q154))</f>
        <v/>
      </c>
      <c r="S154" s="1" t="str">
        <v>Identificado</v>
      </c>
      <c r="T154" s="1" t="str">
        <v/>
      </c>
      <c r="U154" s="1" t="str">
        <v/>
      </c>
      <c r="V154" s="1" t="str">
        <v/>
      </c>
      <c r="W154" s="1" t="str">
        <v>Alta</v>
      </c>
      <c r="X154" s="1" t="str">
        <v/>
      </c>
      <c r="Y154" s="1" t="str">
        <v/>
      </c>
      <c r="Z154" s="1" t="str">
        <v/>
      </c>
      <c r="AA154" s="1" t="str">
        <v/>
      </c>
      <c r="AB154" s="1" t="str">
        <v/>
      </c>
      <c r="AC154" s="1" t="str">
        <v>Proyecto en negociaciones con proveedor, se contratará un Arquitecto para hacer el diseño</v>
      </c>
      <c r="AD154" s="1" t="str">
        <v/>
      </c>
      <c r="AE154" s="1" t="str">
        <v/>
      </c>
      <c r="AF154" s="1" t="str">
        <v/>
      </c>
      <c r="AG154" s="1" t="str">
        <v/>
      </c>
      <c r="AH154" s="1" t="str">
        <v/>
      </c>
      <c r="AI154" s="1" t="str">
        <v/>
      </c>
      <c r="AJ154" s="1" t="str">
        <v/>
      </c>
      <c r="AK154" s="1" t="str">
        <v/>
      </c>
      <c r="AL154" s="1" t="str">
        <v/>
      </c>
    </row>
    <row r="155">
      <c r="A155" s="1" t="str">
        <v>HIST-0154</v>
      </c>
      <c r="B155" s="1" t="str">
        <v>D0009</v>
      </c>
      <c r="C155" s="1" t="str">
        <v>Solución de Cobranzas (DC&amp;RS)</v>
      </c>
      <c r="D155" s="1" t="str">
        <v/>
      </c>
      <c r="E155" s="1" t="str">
        <v/>
      </c>
      <c r="F155" s="1" t="str">
        <v/>
      </c>
      <c r="G155" s="1" t="str">
        <v>Augusto Cabrera / Henry Aguinaga</v>
      </c>
      <c r="H155" s="1" t="str">
        <v/>
      </c>
      <c r="I155" s="1" t="str">
        <v>Carlos Sotomayor</v>
      </c>
      <c r="J155" s="1" t="str">
        <v>Gustavo Ramos</v>
      </c>
      <c r="K155" s="1" t="str">
        <v>Roberto Duarez</v>
      </c>
      <c r="L155" s="1" t="str">
        <v/>
      </c>
      <c r="M155" s="1" t="str">
        <v>2026-07-07</v>
      </c>
      <c r="N155" s="1" t="str">
        <v/>
      </c>
      <c r="O155" s="1" t="str">
        <v/>
      </c>
      <c r="P155" s="1" t="str">
        <v/>
      </c>
      <c r="Q155" s="1" t="str">
        <v>TBD</v>
      </c>
      <c r="R155" s="1" t="str">
        <f>IF(Q155="","","Q"&amp;ROUNDUP(MONTH(Q155)/3,0)&amp;"-"&amp;YEAR(Q155))</f>
        <v/>
      </c>
      <c r="S155" s="1" t="str">
        <v>Identificado</v>
      </c>
      <c r="T155" s="1" t="str">
        <v/>
      </c>
      <c r="U155" s="1" t="str">
        <v/>
      </c>
      <c r="V155" s="1" t="str">
        <v/>
      </c>
      <c r="W155" s="1" t="str">
        <v>Alta</v>
      </c>
      <c r="X155" s="1" t="str">
        <v/>
      </c>
      <c r="Y155" s="1" t="str">
        <v/>
      </c>
      <c r="Z155" s="1" t="str">
        <v>2026-07-07</v>
      </c>
      <c r="AA155" s="1" t="str">
        <v/>
      </c>
      <c r="AB155" s="1" t="str">
        <v/>
      </c>
      <c r="AC155" s="1" t="str">
        <v>Proyecto en negociaciones con proveedor, se contratará un Arquitecto para hacer el diseño</v>
      </c>
      <c r="AD155" s="1" t="str">
        <v/>
      </c>
      <c r="AE155" s="1" t="str">
        <v/>
      </c>
      <c r="AF155" s="1" t="str">
        <v/>
      </c>
      <c r="AG155" s="1" t="str">
        <v>Finalizado</v>
      </c>
      <c r="AH155" s="1" t="str">
        <v>En proceso</v>
      </c>
      <c r="AI155" s="1" t="str">
        <v/>
      </c>
      <c r="AJ155" s="1" t="str">
        <v/>
      </c>
      <c r="AK155" s="1" t="str">
        <v/>
      </c>
      <c r="AL155" s="1" t="str">
        <v/>
      </c>
    </row>
    <row r="156">
      <c r="A156" s="1" t="str">
        <v>HIST-0155</v>
      </c>
      <c r="B156" s="1" t="str">
        <v>D0107</v>
      </c>
      <c r="C156" s="1" t="str">
        <v>Solución de Cobranzas (DC&amp;RS)</v>
      </c>
      <c r="D156" s="1" t="str">
        <v/>
      </c>
      <c r="E156" s="1" t="str">
        <v/>
      </c>
      <c r="F156" s="1" t="str">
        <v/>
      </c>
      <c r="G156" s="1" t="str">
        <v>Augusto Cabrera / Henry Aguinaga</v>
      </c>
      <c r="H156" s="1" t="str">
        <v/>
      </c>
      <c r="I156" s="1" t="str">
        <v>Carlos Sotomayor</v>
      </c>
      <c r="J156" s="1" t="str">
        <v>Gustavo Ramos</v>
      </c>
      <c r="K156" s="1" t="str">
        <v>Roberto Duarez</v>
      </c>
      <c r="L156" s="1" t="str">
        <v/>
      </c>
      <c r="M156" s="1" t="str">
        <v>2026-07-07</v>
      </c>
      <c r="N156" s="1" t="str">
        <v/>
      </c>
      <c r="O156" s="1" t="str">
        <v/>
      </c>
      <c r="P156" s="1" t="str">
        <v/>
      </c>
      <c r="Q156" s="1" t="str">
        <v>TBD</v>
      </c>
      <c r="R156" s="1" t="str">
        <f>IF(Q156="","","Q"&amp;ROUNDUP(MONTH(Q156)/3,0)&amp;"-"&amp;YEAR(Q156))</f>
        <v/>
      </c>
      <c r="S156" s="1" t="str">
        <v>Identificado</v>
      </c>
      <c r="T156" s="1" t="str">
        <v/>
      </c>
      <c r="U156" s="1" t="str">
        <v/>
      </c>
      <c r="V156" s="1" t="str">
        <v/>
      </c>
      <c r="W156" s="1" t="str">
        <v>Alta</v>
      </c>
      <c r="X156" s="1" t="str">
        <v/>
      </c>
      <c r="Y156" s="1" t="str">
        <v/>
      </c>
      <c r="Z156" s="1" t="str">
        <v>2026-06-30</v>
      </c>
      <c r="AA156" s="1" t="str">
        <v/>
      </c>
      <c r="AB156" s="1" t="str">
        <v/>
      </c>
      <c r="AC156" s="1" t="str">
        <v>Proyecto en negociaciones con proveedor, se contratará un Arquitecto para hacer el diseño</v>
      </c>
      <c r="AD156" s="1" t="str">
        <v/>
      </c>
      <c r="AE156" s="1" t="str">
        <v/>
      </c>
      <c r="AF156" s="1" t="str">
        <v/>
      </c>
      <c r="AG156" s="1" t="str">
        <v>Finalizado</v>
      </c>
      <c r="AH156" s="1" t="str">
        <v>Finalizado</v>
      </c>
      <c r="AI156" s="1" t="str">
        <v/>
      </c>
      <c r="AJ156" s="1" t="str">
        <v/>
      </c>
      <c r="AK156" s="1" t="str">
        <v/>
      </c>
      <c r="AL156" s="1" t="str">
        <v/>
      </c>
    </row>
    <row r="157">
      <c r="A157" s="1" t="str">
        <v>HIST-0156</v>
      </c>
      <c r="B157" s="1" t="str">
        <v>D0003</v>
      </c>
      <c r="C157" s="1" t="str">
        <v>Fraudes</v>
      </c>
      <c r="D157" s="1" t="str">
        <v/>
      </c>
      <c r="E157" s="1" t="str">
        <v>Modificación</v>
      </c>
      <c r="F157" s="1" t="str">
        <v>OP-0059</v>
      </c>
      <c r="G157" s="1" t="str">
        <v>Manuel Espin</v>
      </c>
      <c r="H157" s="1" t="str">
        <v>Nelson Cuba</v>
      </c>
      <c r="I157" s="1" t="str">
        <v>Jossi Chamorro</v>
      </c>
      <c r="J157" s="1" t="str">
        <v>Jerameel Benites</v>
      </c>
      <c r="K157" s="1" t="str">
        <v>José Zumaeta</v>
      </c>
      <c r="L157" s="1" t="str">
        <v>Canales</v>
      </c>
      <c r="M157" s="1" t="str">
        <v>2026-07-09</v>
      </c>
      <c r="N157" s="1" t="str">
        <v/>
      </c>
      <c r="O157" s="1" t="str">
        <v/>
      </c>
      <c r="P157" s="1" t="str">
        <v/>
      </c>
      <c r="Q157" s="1" t="str">
        <v>2026-12-31</v>
      </c>
      <c r="R157" s="1" t="str">
        <f>IF(Q157="","","Q"&amp;ROUNDUP(MONTH(Q157)/3,0)&amp;"-"&amp;YEAR(Q157))</f>
        <v>Q4-2026</v>
      </c>
      <c r="S157" s="1" t="str">
        <v>Backlog</v>
      </c>
      <c r="T157" s="1" t="str">
        <v/>
      </c>
      <c r="U157" s="1" t="str">
        <v/>
      </c>
      <c r="V157" s="1" t="str">
        <v/>
      </c>
      <c r="W157" s="1" t="str">
        <v>Alta</v>
      </c>
      <c r="X157" s="1" t="str">
        <v/>
      </c>
      <c r="Y157" s="1" t="str">
        <v/>
      </c>
      <c r="Z157" s="1" t="str">
        <v>2026-07-07</v>
      </c>
      <c r="AA157" s="1" t="str">
        <v/>
      </c>
      <c r="AB157" s="1" t="str">
        <v/>
      </c>
      <c r="AC157" s="1" t="str">
        <v>Diseño terminado, se planifica entregar en el Q4</v>
      </c>
      <c r="AD157" s="1" t="str">
        <v/>
      </c>
      <c r="AE157" s="1" t="str">
        <v/>
      </c>
      <c r="AF157" s="1" t="str">
        <v/>
      </c>
      <c r="AG157" s="1" t="str">
        <v>Finalizado</v>
      </c>
      <c r="AH157" s="1" t="str">
        <v>Finalizado</v>
      </c>
      <c r="AI157" s="1" t="str">
        <v/>
      </c>
      <c r="AJ157" s="1" t="str">
        <v/>
      </c>
      <c r="AK157" s="1" t="str">
        <v/>
      </c>
      <c r="AL157" s="1" t="str">
        <v/>
      </c>
    </row>
    <row r="158">
      <c r="A158" s="1" t="str">
        <v>HIST-0157</v>
      </c>
      <c r="B158" s="1" t="str">
        <v>D0032</v>
      </c>
      <c r="C158" s="1" t="str">
        <v>Fraudes</v>
      </c>
      <c r="D158" s="1" t="str">
        <v/>
      </c>
      <c r="E158" s="1" t="str">
        <v>Creación</v>
      </c>
      <c r="F158" s="1" t="str">
        <v>OP-0060</v>
      </c>
      <c r="G158" s="1" t="str">
        <v>Manuel Espin</v>
      </c>
      <c r="H158" s="1" t="str">
        <v>Nelson Cuba</v>
      </c>
      <c r="I158" s="1" t="str">
        <v>Jossi Chamorro</v>
      </c>
      <c r="J158" s="1" t="str">
        <v>Jerameel Benites</v>
      </c>
      <c r="K158" s="1" t="str">
        <v>José Zumaeta</v>
      </c>
      <c r="L158" s="1" t="str">
        <v>Canales</v>
      </c>
      <c r="M158" s="1" t="str">
        <v>2026-07-09</v>
      </c>
      <c r="N158" s="1" t="str">
        <v/>
      </c>
      <c r="O158" s="1" t="str">
        <v/>
      </c>
      <c r="P158" s="1" t="str">
        <v/>
      </c>
      <c r="Q158" s="1" t="str">
        <v>2026-12-31</v>
      </c>
      <c r="R158" s="1" t="str">
        <f>IF(Q158="","","Q"&amp;ROUNDUP(MONTH(Q158)/3,0)&amp;"-"&amp;YEAR(Q158))</f>
        <v>Q4-2026</v>
      </c>
      <c r="S158" s="1" t="str">
        <v>Backlog</v>
      </c>
      <c r="T158" s="1" t="str">
        <v/>
      </c>
      <c r="U158" s="1" t="str">
        <v/>
      </c>
      <c r="V158" s="1" t="str">
        <v/>
      </c>
      <c r="W158" s="1" t="str">
        <v>Alta</v>
      </c>
      <c r="X158" s="1" t="str">
        <v/>
      </c>
      <c r="Y158" s="1" t="str">
        <v/>
      </c>
      <c r="Z158" s="1" t="str">
        <v/>
      </c>
      <c r="AA158" s="1" t="str">
        <v/>
      </c>
      <c r="AB158" s="1" t="str">
        <v/>
      </c>
      <c r="AC158" s="1" t="str">
        <v>Diseño terminado, se planifica entregar en el Q4</v>
      </c>
      <c r="AD158" s="1" t="str">
        <v/>
      </c>
      <c r="AE158" s="1" t="str">
        <v/>
      </c>
      <c r="AF158" s="1" t="str">
        <v/>
      </c>
      <c r="AG158" s="1" t="str">
        <v/>
      </c>
      <c r="AH158" s="1" t="str">
        <v/>
      </c>
      <c r="AI158" s="1" t="str">
        <v/>
      </c>
      <c r="AJ158" s="1" t="str">
        <v/>
      </c>
      <c r="AK158" s="1" t="str">
        <v/>
      </c>
      <c r="AL158" s="1" t="str">
        <v/>
      </c>
    </row>
    <row r="159">
      <c r="A159" s="1" t="str">
        <v>HIST-0158</v>
      </c>
      <c r="B159" s="1" t="str">
        <v>D0034</v>
      </c>
      <c r="C159" s="1" t="str">
        <v>Fraudes</v>
      </c>
      <c r="D159" s="1" t="str">
        <v/>
      </c>
      <c r="E159" s="1" t="str">
        <v>Creación</v>
      </c>
      <c r="F159" s="1" t="str">
        <v>OP-0061</v>
      </c>
      <c r="G159" s="1" t="str">
        <v>Manuel Espin</v>
      </c>
      <c r="H159" s="1" t="str">
        <v>Nelson Cuba</v>
      </c>
      <c r="I159" s="1" t="str">
        <v>Jossi Chamorro</v>
      </c>
      <c r="J159" s="1" t="str">
        <v>Jerameel Benites</v>
      </c>
      <c r="K159" s="1" t="str">
        <v>José Zumaeta</v>
      </c>
      <c r="L159" s="1" t="str">
        <v>Canales</v>
      </c>
      <c r="M159" s="1" t="str">
        <v>2026-07-09</v>
      </c>
      <c r="N159" s="1" t="str">
        <v/>
      </c>
      <c r="O159" s="1" t="str">
        <v/>
      </c>
      <c r="P159" s="1" t="str">
        <v/>
      </c>
      <c r="Q159" s="1" t="str">
        <v>2026-12-31</v>
      </c>
      <c r="R159" s="1" t="str">
        <f>IF(Q159="","","Q"&amp;ROUNDUP(MONTH(Q159)/3,0)&amp;"-"&amp;YEAR(Q159))</f>
        <v>Q4-2026</v>
      </c>
      <c r="S159" s="1" t="str">
        <v>Backlog</v>
      </c>
      <c r="T159" s="1" t="str">
        <v/>
      </c>
      <c r="U159" s="1" t="str">
        <v/>
      </c>
      <c r="V159" s="1" t="str">
        <v/>
      </c>
      <c r="W159" s="1" t="str">
        <v>Alta</v>
      </c>
      <c r="X159" s="1" t="str">
        <v/>
      </c>
      <c r="Y159" s="1" t="str">
        <v/>
      </c>
      <c r="Z159" s="1" t="str">
        <v>2026-07-08</v>
      </c>
      <c r="AA159" s="1" t="str">
        <v/>
      </c>
      <c r="AB159" s="1" t="str">
        <v/>
      </c>
      <c r="AC159" s="1" t="str">
        <v>Diseño terminado, se planifica entregar en el Q4</v>
      </c>
      <c r="AD159" s="1" t="str">
        <v/>
      </c>
      <c r="AE159" s="1" t="str">
        <v/>
      </c>
      <c r="AF159" s="1" t="str">
        <v/>
      </c>
      <c r="AG159" s="1" t="str">
        <v/>
      </c>
      <c r="AH159" s="1" t="str">
        <v/>
      </c>
      <c r="AI159" s="1" t="str">
        <v/>
      </c>
      <c r="AJ159" s="1" t="str">
        <v/>
      </c>
      <c r="AK159" s="1" t="str">
        <v/>
      </c>
      <c r="AL159" s="1" t="str">
        <v/>
      </c>
    </row>
    <row r="160">
      <c r="A160" s="1" t="str">
        <v>HIST-0159</v>
      </c>
      <c r="B160" s="1" t="str">
        <v>D0007</v>
      </c>
      <c r="C160" s="1" t="str">
        <v>Fraudes</v>
      </c>
      <c r="D160" s="1" t="str">
        <v/>
      </c>
      <c r="E160" s="1" t="str">
        <v>Modificación</v>
      </c>
      <c r="F160" s="1" t="str">
        <v>OP-0062, OP-0063</v>
      </c>
      <c r="G160" s="1" t="str">
        <v>Manuel Espin</v>
      </c>
      <c r="H160" s="1" t="str">
        <v>Nelson Cuba</v>
      </c>
      <c r="I160" s="1" t="str">
        <v>Jossi Chamorro</v>
      </c>
      <c r="J160" s="1" t="str">
        <v>Jerameel Benites</v>
      </c>
      <c r="K160" s="1" t="str">
        <v>José Zumaeta</v>
      </c>
      <c r="L160" s="1" t="str">
        <v>Canales</v>
      </c>
      <c r="M160" s="1" t="str">
        <v>2026-07-09</v>
      </c>
      <c r="N160" s="1" t="str">
        <v/>
      </c>
      <c r="O160" s="1" t="str">
        <v/>
      </c>
      <c r="P160" s="1" t="str">
        <v/>
      </c>
      <c r="Q160" s="1" t="str">
        <v>2026-12-31</v>
      </c>
      <c r="R160" s="1" t="str">
        <f>IF(Q160="","","Q"&amp;ROUNDUP(MONTH(Q160)/3,0)&amp;"-"&amp;YEAR(Q160))</f>
        <v>Q4-2026</v>
      </c>
      <c r="S160" s="1" t="str">
        <v>Backlog</v>
      </c>
      <c r="T160" s="1" t="str">
        <v/>
      </c>
      <c r="U160" s="1" t="str">
        <v/>
      </c>
      <c r="V160" s="1" t="str">
        <v/>
      </c>
      <c r="W160" s="1" t="str">
        <v>Alta</v>
      </c>
      <c r="X160" s="1" t="str">
        <v/>
      </c>
      <c r="Y160" s="1" t="str">
        <v/>
      </c>
      <c r="Z160" s="1" t="str">
        <v>2026-07-07</v>
      </c>
      <c r="AA160" s="1" t="str">
        <v/>
      </c>
      <c r="AB160" s="1" t="str">
        <v/>
      </c>
      <c r="AC160" s="1" t="str">
        <v>Diseño terminado, se planifica entregar en el Q4</v>
      </c>
      <c r="AD160" s="1" t="str">
        <v/>
      </c>
      <c r="AE160" s="1" t="str">
        <v/>
      </c>
      <c r="AF160" s="1" t="str">
        <v/>
      </c>
      <c r="AG160" s="1" t="str">
        <v>En proceso</v>
      </c>
      <c r="AH160" s="1" t="str">
        <v/>
      </c>
      <c r="AI160" s="1" t="str">
        <v/>
      </c>
      <c r="AJ160" s="1" t="str">
        <v/>
      </c>
      <c r="AK160" s="1" t="str">
        <v/>
      </c>
      <c r="AL160" s="1" t="str">
        <v/>
      </c>
    </row>
    <row r="161">
      <c r="A161" s="1" t="str">
        <v>HIST-0160</v>
      </c>
      <c r="B161" s="1" t="str">
        <v>D0021</v>
      </c>
      <c r="C161" s="1" t="str">
        <v>Nueva APP</v>
      </c>
      <c r="D161" s="1" t="str">
        <v/>
      </c>
      <c r="E161" s="1" t="str">
        <v>Modificación</v>
      </c>
      <c r="F161" s="1" t="str">
        <v/>
      </c>
      <c r="G161" s="1" t="str">
        <v>Ricardo Barrientos</v>
      </c>
      <c r="H161" s="1" t="str">
        <v>Gianny Alfaro</v>
      </c>
      <c r="I161" s="1" t="str">
        <v/>
      </c>
      <c r="J161" s="1" t="str">
        <v>José Segura</v>
      </c>
      <c r="K161" s="1" t="str">
        <v>José Zumaeta</v>
      </c>
      <c r="L161" s="1" t="str">
        <v>Nueva APP</v>
      </c>
      <c r="M161" s="1" t="str">
        <v>2026-07-09</v>
      </c>
      <c r="N161" s="1" t="str">
        <v/>
      </c>
      <c r="O161" s="1" t="str">
        <v/>
      </c>
      <c r="P161" s="1" t="str">
        <v/>
      </c>
      <c r="Q161" s="1" t="str">
        <v>TBD</v>
      </c>
      <c r="R161" s="1" t="str">
        <f>IF(Q161="","","Q"&amp;ROUNDUP(MONTH(Q161)/3,0)&amp;"-"&amp;YEAR(Q161))</f>
        <v/>
      </c>
      <c r="S161" s="1" t="str">
        <v>Calidad</v>
      </c>
      <c r="T161" s="1" t="str">
        <v/>
      </c>
      <c r="U161" s="1" t="str">
        <v/>
      </c>
      <c r="V161" s="1" t="str">
        <v/>
      </c>
      <c r="W161" s="1" t="str">
        <v>Media</v>
      </c>
      <c r="X161" s="1" t="str">
        <v/>
      </c>
      <c r="Y161" s="1" t="str">
        <v/>
      </c>
      <c r="Z161" s="1" t="str">
        <v/>
      </c>
      <c r="AA161" s="1" t="str">
        <v/>
      </c>
      <c r="AB161" s="1" t="str">
        <v/>
      </c>
      <c r="AC161" s="1" t="str">
        <v>Neobanco lo entrego en el Q1, Aqui se está modificando</v>
      </c>
      <c r="AD161" s="1" t="str">
        <v/>
      </c>
      <c r="AE161" s="1" t="str">
        <v/>
      </c>
      <c r="AF161" s="1" t="str">
        <v/>
      </c>
      <c r="AG161" s="1" t="str">
        <v/>
      </c>
      <c r="AH161" s="1" t="str">
        <v/>
      </c>
      <c r="AI161" s="1" t="str">
        <v/>
      </c>
      <c r="AJ161" s="1" t="str">
        <v/>
      </c>
      <c r="AK161" s="1" t="str">
        <v/>
      </c>
      <c r="AL161" s="1" t="str">
        <v/>
      </c>
    </row>
    <row r="162">
      <c r="A162" s="1" t="str">
        <v>HIST-0161</v>
      </c>
      <c r="B162" s="1" t="str">
        <v>D0108</v>
      </c>
      <c r="C162" s="1" t="str">
        <v>Nueva APP</v>
      </c>
      <c r="D162" s="1" t="str">
        <v/>
      </c>
      <c r="E162" s="1" t="str">
        <v>Creación</v>
      </c>
      <c r="F162" s="1" t="str">
        <v/>
      </c>
      <c r="G162" s="1" t="str">
        <v>Ricardo Barrientos</v>
      </c>
      <c r="H162" s="1" t="str">
        <v>Gianny Alfaro</v>
      </c>
      <c r="I162" s="1" t="str">
        <v/>
      </c>
      <c r="J162" s="1" t="str">
        <v>José Segura</v>
      </c>
      <c r="K162" s="1" t="str">
        <v>José Zumaeta</v>
      </c>
      <c r="L162" s="1" t="str">
        <v>Nueva APP</v>
      </c>
      <c r="M162" s="1" t="str">
        <v>2026-07-09</v>
      </c>
      <c r="N162" s="1" t="str">
        <v/>
      </c>
      <c r="O162" s="1" t="str">
        <v/>
      </c>
      <c r="P162" s="1" t="str">
        <v/>
      </c>
      <c r="Q162" s="1" t="str">
        <v/>
      </c>
      <c r="R162" s="1" t="str">
        <f>IF(Q162="","","Q"&amp;ROUNDUP(MONTH(Q162)/3,0)&amp;"-"&amp;YEAR(Q162))</f>
        <v/>
      </c>
      <c r="S162" s="1" t="str">
        <v>Diseño</v>
      </c>
      <c r="T162" s="1" t="str">
        <v/>
      </c>
      <c r="U162" s="1" t="str">
        <v/>
      </c>
      <c r="V162" s="1" t="str">
        <v/>
      </c>
      <c r="W162" s="1" t="str">
        <v>Media</v>
      </c>
      <c r="X162" s="1" t="str">
        <v/>
      </c>
      <c r="Y162" s="1" t="str">
        <v/>
      </c>
      <c r="Z162" s="1" t="str">
        <v>2026-06-30</v>
      </c>
      <c r="AA162" s="1" t="str">
        <v/>
      </c>
      <c r="AB162" s="1" t="str">
        <v/>
      </c>
      <c r="AC162" s="1" t="str">
        <v>Aqui se está creando, sin embargo Interconexión tambien lo modificará en el Q4</v>
      </c>
      <c r="AD162" s="1" t="str">
        <v/>
      </c>
      <c r="AE162" s="1" t="str">
        <v/>
      </c>
      <c r="AF162" s="1" t="str">
        <v/>
      </c>
      <c r="AG162" s="1" t="str">
        <v>Finalizado</v>
      </c>
      <c r="AH162" s="1" t="str">
        <v>Finalizado</v>
      </c>
      <c r="AI162" s="1" t="str">
        <v/>
      </c>
      <c r="AJ162" s="1" t="str">
        <v/>
      </c>
      <c r="AK162" s="1" t="str">
        <v/>
      </c>
      <c r="AL162" s="1" t="str">
        <v/>
      </c>
    </row>
    <row r="163">
      <c r="A163" s="1" t="str">
        <v>HIST-0162</v>
      </c>
      <c r="B163" s="1" t="str">
        <v>D0109</v>
      </c>
      <c r="C163" s="1" t="str">
        <v>Nueva APP</v>
      </c>
      <c r="D163" s="1" t="str">
        <v/>
      </c>
      <c r="E163" s="1" t="str">
        <v>Creación</v>
      </c>
      <c r="F163" s="1" t="str">
        <v/>
      </c>
      <c r="G163" s="1" t="str">
        <v>Lady Baltazar</v>
      </c>
      <c r="H163" s="1" t="str">
        <v>Gianny Alfaro</v>
      </c>
      <c r="I163" s="1" t="str">
        <v/>
      </c>
      <c r="J163" s="1" t="str">
        <v>Luis Paz</v>
      </c>
      <c r="K163" s="1" t="str">
        <v>José Zumaeta</v>
      </c>
      <c r="L163" s="1" t="str">
        <v>Canales</v>
      </c>
      <c r="M163" s="1" t="str">
        <v>2026-07-09</v>
      </c>
      <c r="N163" s="1" t="str">
        <v/>
      </c>
      <c r="O163" s="1" t="str">
        <v/>
      </c>
      <c r="P163" s="1" t="str">
        <v/>
      </c>
      <c r="Q163" s="1" t="str">
        <v>2026-09-30</v>
      </c>
      <c r="R163" s="1" t="str">
        <f>IF(Q163="","","Q"&amp;ROUNDUP(MONTH(Q163)/3,0)&amp;"-"&amp;YEAR(Q163))</f>
        <v>Q3-2026</v>
      </c>
      <c r="S163" s="1" t="str">
        <v>Calidad</v>
      </c>
      <c r="T163" s="1" t="str">
        <v/>
      </c>
      <c r="U163" s="1" t="str">
        <v/>
      </c>
      <c r="V163" s="1" t="str">
        <v/>
      </c>
      <c r="W163" s="1" t="str">
        <v>Media</v>
      </c>
      <c r="X163" s="1" t="str">
        <v/>
      </c>
      <c r="Y163" s="1" t="str">
        <v/>
      </c>
      <c r="Z163" s="1" t="str">
        <v>2026-06-30</v>
      </c>
      <c r="AA163" s="1" t="str">
        <v/>
      </c>
      <c r="AB163" s="1" t="str">
        <v/>
      </c>
      <c r="AC163" s="1" t="str">
        <v>Replanificado para el Q3</v>
      </c>
      <c r="AD163" s="1" t="str">
        <v/>
      </c>
      <c r="AE163" s="1" t="str">
        <v/>
      </c>
      <c r="AF163" s="1" t="str">
        <v/>
      </c>
      <c r="AG163" s="1" t="str">
        <v>Finalizado</v>
      </c>
      <c r="AH163" s="1" t="str">
        <v>Finalizado</v>
      </c>
      <c r="AI163" s="1" t="str">
        <v/>
      </c>
      <c r="AJ163" s="1" t="str">
        <v/>
      </c>
      <c r="AK163" s="1" t="str">
        <v/>
      </c>
      <c r="AL163" s="1" t="str">
        <v/>
      </c>
    </row>
    <row r="164">
      <c r="A164" s="1" t="str">
        <v>HIST-0163</v>
      </c>
      <c r="B164" s="1" t="str">
        <v>D0027</v>
      </c>
      <c r="C164" s="1" t="str">
        <v>Nueva APP</v>
      </c>
      <c r="D164" s="1" t="str">
        <v/>
      </c>
      <c r="E164" s="1" t="str">
        <v>Creación</v>
      </c>
      <c r="F164" s="1" t="str">
        <v/>
      </c>
      <c r="G164" s="1" t="str">
        <v>Ricardo Barrientos</v>
      </c>
      <c r="H164" s="1" t="str">
        <v>Gianny Alfaro</v>
      </c>
      <c r="I164" s="1" t="str">
        <v/>
      </c>
      <c r="J164" s="1" t="str">
        <v>José Segura</v>
      </c>
      <c r="K164" s="1" t="str">
        <v>José Zumaeta</v>
      </c>
      <c r="L164" s="1" t="str">
        <v>Canales</v>
      </c>
      <c r="M164" s="1" t="str">
        <v>2026-07-09</v>
      </c>
      <c r="N164" s="1" t="str">
        <v/>
      </c>
      <c r="O164" s="1" t="str">
        <v/>
      </c>
      <c r="P164" s="1" t="str">
        <v/>
      </c>
      <c r="Q164" s="1" t="str">
        <v>2026-09-30</v>
      </c>
      <c r="R164" s="1" t="str">
        <f>IF(Q164="","","Q"&amp;ROUNDUP(MONTH(Q164)/3,0)&amp;"-"&amp;YEAR(Q164))</f>
        <v>Q3-2026</v>
      </c>
      <c r="S164" s="1" t="str">
        <v>Calidad</v>
      </c>
      <c r="T164" s="1" t="str">
        <v/>
      </c>
      <c r="U164" s="1" t="str">
        <v/>
      </c>
      <c r="V164" s="1" t="str">
        <v/>
      </c>
      <c r="W164" s="1" t="str">
        <v>Media</v>
      </c>
      <c r="X164" s="1" t="str">
        <v/>
      </c>
      <c r="Y164" s="1" t="str">
        <v/>
      </c>
      <c r="Z164" s="1" t="str">
        <v/>
      </c>
      <c r="AA164" s="1" t="str">
        <v/>
      </c>
      <c r="AB164" s="1" t="str">
        <v/>
      </c>
      <c r="AC164" s="1" t="str">
        <v>Replanificado para el Q3</v>
      </c>
      <c r="AD164" s="1" t="str">
        <v/>
      </c>
      <c r="AE164" s="1" t="str">
        <v/>
      </c>
      <c r="AF164" s="1" t="str">
        <v/>
      </c>
      <c r="AG164" s="1" t="str">
        <v/>
      </c>
      <c r="AH164" s="1" t="str">
        <v/>
      </c>
      <c r="AI164" s="1" t="str">
        <v/>
      </c>
      <c r="AJ164" s="1" t="str">
        <v/>
      </c>
      <c r="AK164" s="1" t="str">
        <v/>
      </c>
      <c r="AL164" s="1" t="str">
        <v/>
      </c>
    </row>
    <row r="165">
      <c r="A165" s="1" t="str">
        <v>HIST-0164</v>
      </c>
      <c r="B165" s="1" t="str">
        <v>D0007</v>
      </c>
      <c r="C165" s="1" t="str">
        <v>Urpi Pro</v>
      </c>
      <c r="D165" s="1" t="str">
        <v/>
      </c>
      <c r="E165" s="1" t="str">
        <v>Modificación</v>
      </c>
      <c r="F165" s="1" t="str">
        <v>OP-0064</v>
      </c>
      <c r="G165" s="1" t="str">
        <v>Maria Reyes</v>
      </c>
      <c r="H165" s="1" t="str">
        <v>Carlos Solano</v>
      </c>
      <c r="I165" s="1" t="str">
        <v/>
      </c>
      <c r="J165" s="1" t="str">
        <v>Edwin Suarez</v>
      </c>
      <c r="K165" s="1" t="str">
        <v>Luis Palomino</v>
      </c>
      <c r="L165" s="1" t="str">
        <v>Urpi Pro</v>
      </c>
      <c r="M165" s="1" t="str">
        <v>2026-09-08</v>
      </c>
      <c r="N165" s="1" t="str">
        <v/>
      </c>
      <c r="O165" s="1" t="str">
        <v/>
      </c>
      <c r="P165" s="1" t="str">
        <v/>
      </c>
      <c r="Q165" s="1" t="str">
        <v>TBD</v>
      </c>
      <c r="R165" s="1" t="str">
        <f>IF(Q165="","","Q"&amp;ROUNDUP(MONTH(Q165)/3,0)&amp;"-"&amp;YEAR(Q165))</f>
        <v/>
      </c>
      <c r="S165" s="1" t="str">
        <v>Desarrollo</v>
      </c>
      <c r="T165" s="1" t="str">
        <v/>
      </c>
      <c r="U165" s="1" t="str">
        <v/>
      </c>
      <c r="V165" s="1" t="str">
        <v/>
      </c>
      <c r="W165" s="1" t="str">
        <v>Baja</v>
      </c>
      <c r="X165" s="1" t="str">
        <v/>
      </c>
      <c r="Y165" s="1" t="str">
        <v/>
      </c>
      <c r="Z165" s="1" t="str">
        <v>2026-07-07</v>
      </c>
      <c r="AA165" s="1" t="str">
        <v/>
      </c>
      <c r="AB165" s="1" t="str">
        <v/>
      </c>
      <c r="AC165" s="1" t="str">
        <v>Neobanco lo entrego en el Q1, Riesgos tambien lo esta viendo, Urpi Pro modificará</v>
      </c>
      <c r="AD165" s="1" t="str">
        <v/>
      </c>
      <c r="AE165" s="1" t="str">
        <v/>
      </c>
      <c r="AF165" s="1" t="str">
        <v/>
      </c>
      <c r="AG165" s="1" t="str">
        <v>En proceso</v>
      </c>
      <c r="AH165" s="1" t="str">
        <v/>
      </c>
      <c r="AI165" s="1" t="str">
        <v/>
      </c>
      <c r="AJ165" s="1" t="str">
        <v/>
      </c>
      <c r="AK165" s="1" t="str">
        <v/>
      </c>
      <c r="AL165" s="1" t="str">
        <v/>
      </c>
    </row>
    <row r="166">
      <c r="A166" s="1" t="str">
        <v>HIST-0165</v>
      </c>
      <c r="B166" s="1" t="str">
        <v>D0099</v>
      </c>
      <c r="C166" s="1" t="str">
        <v>Urpi Pro</v>
      </c>
      <c r="D166" s="1" t="str">
        <v/>
      </c>
      <c r="E166" s="1" t="str">
        <v>Creación</v>
      </c>
      <c r="F166" s="1" t="str">
        <v/>
      </c>
      <c r="G166" s="1" t="str">
        <v>Maria Reyes</v>
      </c>
      <c r="H166" s="1" t="str">
        <v>Carlos Solano</v>
      </c>
      <c r="I166" s="1" t="str">
        <v/>
      </c>
      <c r="J166" s="1" t="str">
        <v>Edwin Suarez</v>
      </c>
      <c r="K166" s="1" t="str">
        <v>Luis Palomino</v>
      </c>
      <c r="L166" s="1" t="str">
        <v>Urpi Pro</v>
      </c>
      <c r="M166" s="1" t="str">
        <v>2026-09-08</v>
      </c>
      <c r="N166" s="1" t="str">
        <v/>
      </c>
      <c r="O166" s="1" t="str">
        <v/>
      </c>
      <c r="P166" s="1" t="str">
        <v/>
      </c>
      <c r="Q166" s="1" t="str">
        <v>2026-12-31</v>
      </c>
      <c r="R166" s="1" t="str">
        <f>IF(Q166="","","Q"&amp;ROUNDUP(MONTH(Q166)/3,0)&amp;"-"&amp;YEAR(Q166))</f>
        <v>Q4-2026</v>
      </c>
      <c r="S166" s="1" t="str">
        <v>Desarrollo</v>
      </c>
      <c r="T166" s="1" t="str">
        <v/>
      </c>
      <c r="U166" s="1" t="str">
        <v/>
      </c>
      <c r="V166" s="1" t="str">
        <v/>
      </c>
      <c r="W166" s="1" t="str">
        <v>Media</v>
      </c>
      <c r="X166" s="1" t="str">
        <v/>
      </c>
      <c r="Y166" s="1" t="str">
        <v/>
      </c>
      <c r="Z166" s="1" t="str">
        <v>2026-06-30</v>
      </c>
      <c r="AA166" s="1" t="str">
        <v/>
      </c>
      <c r="AB166" s="1" t="str">
        <v/>
      </c>
      <c r="AC166" s="1" t="str">
        <v>Comprometida para el Q4</v>
      </c>
      <c r="AD166" s="1" t="str">
        <v/>
      </c>
      <c r="AE166" s="1" t="str">
        <v/>
      </c>
      <c r="AF166" s="1" t="str">
        <v/>
      </c>
      <c r="AG166" s="1" t="str">
        <v>Finalizado</v>
      </c>
      <c r="AH166" s="1" t="str">
        <v>Finalizado</v>
      </c>
      <c r="AI166" s="1" t="str">
        <v/>
      </c>
      <c r="AJ166" s="1" t="str">
        <v/>
      </c>
      <c r="AK166" s="1" t="str">
        <v/>
      </c>
      <c r="AL166" s="1" t="str">
        <v/>
      </c>
    </row>
    <row r="167">
      <c r="A167" s="1" t="str">
        <v>HIST-0166</v>
      </c>
      <c r="B167" s="1" t="str">
        <v>D0014</v>
      </c>
      <c r="C167" s="1" t="str">
        <v>Urpi Pro</v>
      </c>
      <c r="D167" s="1" t="str">
        <v/>
      </c>
      <c r="E167" s="1" t="str">
        <v>Reutilización</v>
      </c>
      <c r="F167" s="1" t="str">
        <v/>
      </c>
      <c r="G167" s="1" t="str">
        <v>Maria Reyes</v>
      </c>
      <c r="H167" s="1" t="str">
        <v>Carlos Solano</v>
      </c>
      <c r="I167" s="1" t="str">
        <v/>
      </c>
      <c r="J167" s="1" t="str">
        <v>Edwin Suarez</v>
      </c>
      <c r="K167" s="1" t="str">
        <v>Luis Palomino</v>
      </c>
      <c r="L167" s="1" t="str">
        <v>Urpi Pro</v>
      </c>
      <c r="M167" s="1" t="str">
        <v>2026-09-08</v>
      </c>
      <c r="N167" s="1" t="str">
        <v/>
      </c>
      <c r="O167" s="1" t="str">
        <v/>
      </c>
      <c r="P167" s="1" t="str">
        <v/>
      </c>
      <c r="Q167" s="1" t="str">
        <v>TBD</v>
      </c>
      <c r="R167" s="1" t="str">
        <f>IF(Q167="","","Q"&amp;ROUNDUP(MONTH(Q167)/3,0)&amp;"-"&amp;YEAR(Q167))</f>
        <v/>
      </c>
      <c r="S167" s="1" t="str">
        <v>Desarrollo</v>
      </c>
      <c r="T167" s="1" t="str">
        <v/>
      </c>
      <c r="U167" s="1" t="str">
        <v/>
      </c>
      <c r="V167" s="1" t="str">
        <v/>
      </c>
      <c r="W167" s="1" t="str">
        <v>Media</v>
      </c>
      <c r="X167" s="1" t="str">
        <v/>
      </c>
      <c r="Y167" s="1" t="str">
        <v/>
      </c>
      <c r="Z167" s="1" t="str">
        <v>2026-07-07</v>
      </c>
      <c r="AA167" s="1" t="str">
        <v/>
      </c>
      <c r="AB167" s="1" t="str">
        <v/>
      </c>
      <c r="AC167" s="1" t="str">
        <v>Lo tiene el Satelite Seguros</v>
      </c>
      <c r="AD167" s="1" t="str">
        <v/>
      </c>
      <c r="AE167" s="1" t="str">
        <v/>
      </c>
      <c r="AF167" s="1" t="str">
        <v/>
      </c>
      <c r="AG167" s="1" t="str">
        <v>Finalizado</v>
      </c>
      <c r="AH167" s="1" t="str">
        <v>En proceso</v>
      </c>
      <c r="AI167" s="1" t="str">
        <v/>
      </c>
      <c r="AJ167" s="1" t="str">
        <v/>
      </c>
      <c r="AK167" s="1" t="str">
        <v/>
      </c>
      <c r="AL167" s="1" t="str">
        <v/>
      </c>
    </row>
    <row r="168">
      <c r="A168" s="1" t="str">
        <v>HIST-0167</v>
      </c>
      <c r="B168" s="1" t="str">
        <v>D0012</v>
      </c>
      <c r="C168" s="1" t="str">
        <v>Urpi Pro</v>
      </c>
      <c r="D168" s="1" t="str">
        <v/>
      </c>
      <c r="E168" s="1" t="str">
        <v>Modificación</v>
      </c>
      <c r="F168" s="1" t="str">
        <v/>
      </c>
      <c r="G168" s="1" t="str">
        <v>Maria Reyes</v>
      </c>
      <c r="H168" s="1" t="str">
        <v>Carlos Solano</v>
      </c>
      <c r="I168" s="1" t="str">
        <v/>
      </c>
      <c r="J168" s="1" t="str">
        <v>Edwin Suarez</v>
      </c>
      <c r="K168" s="1" t="str">
        <v>Luis Palomino</v>
      </c>
      <c r="L168" s="1" t="str">
        <v>Urpi Pro</v>
      </c>
      <c r="M168" s="1" t="str">
        <v>2026-09-08</v>
      </c>
      <c r="N168" s="1" t="str">
        <v/>
      </c>
      <c r="O168" s="1" t="str">
        <v/>
      </c>
      <c r="P168" s="1" t="str">
        <v/>
      </c>
      <c r="Q168" s="1" t="str">
        <v>2026-09-30</v>
      </c>
      <c r="R168" s="1" t="str">
        <f>IF(Q168="","","Q"&amp;ROUNDUP(MONTH(Q168)/3,0)&amp;"-"&amp;YEAR(Q168))</f>
        <v>Q3-2026</v>
      </c>
      <c r="S168" s="1" t="str">
        <v>Desarrollo</v>
      </c>
      <c r="T168" s="1" t="str">
        <v/>
      </c>
      <c r="U168" s="1" t="str">
        <v/>
      </c>
      <c r="V168" s="1" t="str">
        <v/>
      </c>
      <c r="W168" s="1" t="str">
        <v>Media</v>
      </c>
      <c r="X168" s="1" t="str">
        <v/>
      </c>
      <c r="Y168" s="1" t="str">
        <v/>
      </c>
      <c r="Z168" s="1" t="str">
        <v>2026-07-07</v>
      </c>
      <c r="AA168" s="1" t="str">
        <v/>
      </c>
      <c r="AB168" s="1" t="str">
        <v/>
      </c>
      <c r="AC168" s="1" t="str">
        <v>Neobanco lo entrego en el Q1, La Modificación está omprometida para el Q3</v>
      </c>
      <c r="AD168" s="1" t="str">
        <v/>
      </c>
      <c r="AE168" s="1" t="str">
        <v/>
      </c>
      <c r="AF168" s="1" t="str">
        <v/>
      </c>
      <c r="AG168" s="1" t="str">
        <v>Finalizado</v>
      </c>
      <c r="AH168" s="1" t="str">
        <v>En proceso</v>
      </c>
      <c r="AI168" s="1" t="str">
        <v/>
      </c>
      <c r="AJ168" s="1" t="str">
        <v/>
      </c>
      <c r="AK168" s="1" t="str">
        <v/>
      </c>
      <c r="AL168" s="1" t="str">
        <v/>
      </c>
    </row>
    <row r="169">
      <c r="A169" s="1" t="str">
        <v>HIST-0168</v>
      </c>
      <c r="B169" s="1" t="str">
        <v>D0007</v>
      </c>
      <c r="C169" s="1" t="str">
        <v>Neobanco</v>
      </c>
      <c r="D169" s="1" t="str">
        <v/>
      </c>
      <c r="E169" s="1" t="str">
        <v>Modificación</v>
      </c>
      <c r="F169" s="1" t="str">
        <v>OP-0065, OP-0066</v>
      </c>
      <c r="G169" s="1" t="str">
        <v>Ricardo Garmendia</v>
      </c>
      <c r="H169" s="1" t="str">
        <v>Jose Seminario</v>
      </c>
      <c r="I169" s="1" t="str">
        <v/>
      </c>
      <c r="J169" s="1" t="str">
        <v>Franco Vasquez</v>
      </c>
      <c r="K169" s="1" t="str">
        <v>Luis Palomino</v>
      </c>
      <c r="L169" s="1" t="str">
        <v>WhatsApp</v>
      </c>
      <c r="M169" s="1" t="str">
        <v>2026-07-08</v>
      </c>
      <c r="N169" s="1" t="str">
        <v/>
      </c>
      <c r="O169" s="1" t="str">
        <v/>
      </c>
      <c r="P169" s="1" t="str">
        <v/>
      </c>
      <c r="Q169" s="1" t="str">
        <v>TBD</v>
      </c>
      <c r="R169" s="1" t="str">
        <f>IF(Q169="","","Q"&amp;ROUNDUP(MONTH(Q169)/3,0)&amp;"-"&amp;YEAR(Q169))</f>
        <v/>
      </c>
      <c r="S169" s="1" t="str">
        <v>Producción</v>
      </c>
      <c r="T169" s="1" t="str">
        <v/>
      </c>
      <c r="U169" s="1" t="str">
        <v/>
      </c>
      <c r="V169" s="1" t="str">
        <v/>
      </c>
      <c r="W169" s="1" t="str">
        <v>Media</v>
      </c>
      <c r="X169" s="1" t="str">
        <v/>
      </c>
      <c r="Y169" s="1" t="str">
        <v/>
      </c>
      <c r="Z169" s="1" t="str">
        <v>2026-07-07</v>
      </c>
      <c r="AA169" s="1" t="str">
        <v/>
      </c>
      <c r="AB169" s="1" t="str">
        <v/>
      </c>
      <c r="AC169" s="1" t="str">
        <v>Diseñado, pero no ha iniciado desarrollo.</v>
      </c>
      <c r="AD169" s="1" t="str">
        <v/>
      </c>
      <c r="AE169" s="1" t="str">
        <v/>
      </c>
      <c r="AF169" s="1" t="str">
        <v/>
      </c>
      <c r="AG169" s="1" t="str">
        <v>En proceso</v>
      </c>
      <c r="AH169" s="1" t="str">
        <v/>
      </c>
      <c r="AI169" s="1" t="str">
        <v/>
      </c>
      <c r="AJ169" s="1" t="str">
        <v/>
      </c>
      <c r="AK169" s="1" t="str">
        <v/>
      </c>
      <c r="AL169" s="1" t="str">
        <v/>
      </c>
    </row>
    <row r="170">
      <c r="A170" s="1" t="str">
        <v>HIST-0169</v>
      </c>
      <c r="B170" s="1" t="str">
        <v>D0110</v>
      </c>
      <c r="C170" s="1" t="str">
        <v>Neobanco</v>
      </c>
      <c r="D170" s="1" t="str">
        <v/>
      </c>
      <c r="E170" s="1" t="str">
        <v>Creación</v>
      </c>
      <c r="F170" s="1" t="str">
        <v>OP-0067</v>
      </c>
      <c r="G170" s="1" t="str">
        <v>Ricardo Garmendia</v>
      </c>
      <c r="H170" s="1" t="str">
        <v>Jose Seminario</v>
      </c>
      <c r="I170" s="1" t="str">
        <v/>
      </c>
      <c r="J170" s="1" t="str">
        <v>Franco Vasquez</v>
      </c>
      <c r="K170" s="1" t="str">
        <v>Luis Palomino</v>
      </c>
      <c r="L170" s="1" t="str">
        <v>WhatsApp</v>
      </c>
      <c r="M170" s="1" t="str">
        <v>2026-09-08</v>
      </c>
      <c r="N170" s="1" t="str">
        <v/>
      </c>
      <c r="O170" s="1" t="str">
        <v/>
      </c>
      <c r="P170" s="1" t="str">
        <v/>
      </c>
      <c r="Q170" s="1" t="str">
        <v>TBD</v>
      </c>
      <c r="R170" s="1" t="str">
        <f>IF(Q170="","","Q"&amp;ROUNDUP(MONTH(Q170)/3,0)&amp;"-"&amp;YEAR(Q170))</f>
        <v/>
      </c>
      <c r="S170" s="1" t="str">
        <v>Diseño</v>
      </c>
      <c r="T170" s="1" t="str">
        <v/>
      </c>
      <c r="U170" s="1" t="str">
        <v/>
      </c>
      <c r="V170" s="1" t="str">
        <v/>
      </c>
      <c r="W170" s="1" t="str">
        <v>Media</v>
      </c>
      <c r="X170" s="1" t="str">
        <v/>
      </c>
      <c r="Y170" s="1" t="str">
        <v/>
      </c>
      <c r="Z170" s="1" t="str">
        <v>2026-06-30</v>
      </c>
      <c r="AA170" s="1" t="str">
        <v/>
      </c>
      <c r="AB170" s="1" t="str">
        <v/>
      </c>
      <c r="AC170" s="1" t="str">
        <v>Diseñado, pero no ha iniciado desarrollo.</v>
      </c>
      <c r="AD170" s="1" t="str">
        <v/>
      </c>
      <c r="AE170" s="1" t="str">
        <v/>
      </c>
      <c r="AF170" s="1" t="str">
        <v/>
      </c>
      <c r="AG170" s="1" t="str">
        <v>Finalizado</v>
      </c>
      <c r="AH170" s="1" t="str">
        <v>Finalizado</v>
      </c>
      <c r="AI170" s="1" t="str">
        <v/>
      </c>
      <c r="AJ170" s="1" t="str">
        <v/>
      </c>
      <c r="AK170" s="1" t="str">
        <v/>
      </c>
      <c r="AL170" s="1" t="str">
        <v/>
      </c>
    </row>
    <row r="171">
      <c r="A171" s="1" t="str">
        <v>HIST-0170</v>
      </c>
      <c r="B171" s="1" t="str">
        <v>D0013</v>
      </c>
      <c r="C171" s="1" t="str">
        <v>Neobanco</v>
      </c>
      <c r="D171" s="1" t="str">
        <v/>
      </c>
      <c r="E171" s="1" t="str">
        <v>Creación</v>
      </c>
      <c r="F171" s="1" t="str">
        <v>OP-0068, OP-0069, OP-0070, OP-0071, OP-0072</v>
      </c>
      <c r="G171" s="1" t="str">
        <v>Ricardo Garmendia</v>
      </c>
      <c r="H171" s="1" t="str">
        <v>Jose Seminario</v>
      </c>
      <c r="I171" s="1" t="str">
        <v/>
      </c>
      <c r="J171" s="1" t="str">
        <v>Franco Vasquez</v>
      </c>
      <c r="K171" s="1" t="str">
        <v>Luis Palomino</v>
      </c>
      <c r="L171" s="1" t="str">
        <v>WhatsApp</v>
      </c>
      <c r="M171" s="1" t="str">
        <v>2026-09-08</v>
      </c>
      <c r="N171" s="1" t="str">
        <v/>
      </c>
      <c r="O171" s="1" t="str">
        <v/>
      </c>
      <c r="P171" s="1" t="str">
        <v/>
      </c>
      <c r="Q171" s="1" t="str">
        <v>TBD</v>
      </c>
      <c r="R171" s="1" t="str">
        <f>IF(Q171="","","Q"&amp;ROUNDUP(MONTH(Q171)/3,0)&amp;"-"&amp;YEAR(Q171))</f>
        <v/>
      </c>
      <c r="S171" s="1" t="str">
        <v>Diseño</v>
      </c>
      <c r="T171" s="1" t="str">
        <v/>
      </c>
      <c r="U171" s="1" t="str">
        <v/>
      </c>
      <c r="V171" s="1" t="str">
        <v/>
      </c>
      <c r="W171" s="1" t="str">
        <v>Media</v>
      </c>
      <c r="X171" s="1" t="str">
        <v/>
      </c>
      <c r="Y171" s="1" t="str">
        <v/>
      </c>
      <c r="Z171" s="1" t="str">
        <v>2026-07-07</v>
      </c>
      <c r="AA171" s="1" t="str">
        <v/>
      </c>
      <c r="AB171" s="1" t="str">
        <v/>
      </c>
      <c r="AC171" s="1" t="str">
        <v>Diseñado pero no ha iniciado desarrollo, Interconexion lo entrega en el Q3</v>
      </c>
      <c r="AD171" s="1" t="str">
        <v/>
      </c>
      <c r="AE171" s="1" t="str">
        <v/>
      </c>
      <c r="AF171" s="1" t="str">
        <v/>
      </c>
      <c r="AG171" s="1" t="str">
        <v>Finalizado</v>
      </c>
      <c r="AH171" s="1" t="str">
        <v>En proceso</v>
      </c>
      <c r="AI171" s="1" t="str">
        <v/>
      </c>
      <c r="AJ171" s="1" t="str">
        <v/>
      </c>
      <c r="AK171" s="1" t="str">
        <v/>
      </c>
      <c r="AL171" s="1" t="str">
        <v/>
      </c>
    </row>
    <row r="172">
      <c r="A172" s="1" t="str">
        <v>HIST-0171</v>
      </c>
      <c r="B172" s="1" t="str">
        <v>D0016</v>
      </c>
      <c r="C172" s="1" t="str">
        <v>Neobanco</v>
      </c>
      <c r="D172" s="1" t="str">
        <v/>
      </c>
      <c r="E172" s="1" t="str">
        <v>Creación</v>
      </c>
      <c r="F172" s="1" t="str">
        <v>OP-0073, OP-0074</v>
      </c>
      <c r="G172" s="1" t="str">
        <v>Ricardo Garmendia</v>
      </c>
      <c r="H172" s="1" t="str">
        <v>Jose Seminario</v>
      </c>
      <c r="I172" s="1" t="str">
        <v/>
      </c>
      <c r="J172" s="1" t="str">
        <v>Franco Vasquez</v>
      </c>
      <c r="K172" s="1" t="str">
        <v>Luis Palomino</v>
      </c>
      <c r="L172" s="1" t="str">
        <v>WhatsApp</v>
      </c>
      <c r="M172" s="1" t="str">
        <v>2026-09-08</v>
      </c>
      <c r="N172" s="1" t="str">
        <v/>
      </c>
      <c r="O172" s="1" t="str">
        <v/>
      </c>
      <c r="P172" s="1" t="str">
        <v/>
      </c>
      <c r="Q172" s="1" t="str">
        <v>TBD</v>
      </c>
      <c r="R172" s="1" t="str">
        <f>IF(Q172="","","Q"&amp;ROUNDUP(MONTH(Q172)/3,0)&amp;"-"&amp;YEAR(Q172))</f>
        <v/>
      </c>
      <c r="S172" s="1" t="str">
        <v>Diseño</v>
      </c>
      <c r="T172" s="1" t="str">
        <v/>
      </c>
      <c r="U172" s="1" t="str">
        <v/>
      </c>
      <c r="V172" s="1" t="str">
        <v/>
      </c>
      <c r="W172" s="1" t="str">
        <v>Media</v>
      </c>
      <c r="X172" s="1" t="str">
        <v/>
      </c>
      <c r="Y172" s="1" t="str">
        <v/>
      </c>
      <c r="Z172" s="1" t="str">
        <v>2026-07-07</v>
      </c>
      <c r="AA172" s="1" t="str">
        <v/>
      </c>
      <c r="AB172" s="1" t="str">
        <v/>
      </c>
      <c r="AC172" s="1" t="str">
        <v>En diseño</v>
      </c>
      <c r="AD172" s="1" t="str">
        <v/>
      </c>
      <c r="AE172" s="1" t="str">
        <v/>
      </c>
      <c r="AF172" s="1" t="str">
        <v/>
      </c>
      <c r="AG172" s="1" t="str">
        <v>Finalizado</v>
      </c>
      <c r="AH172" s="1" t="str">
        <v>En proceso</v>
      </c>
      <c r="AI172" s="1" t="str">
        <v/>
      </c>
      <c r="AJ172" s="1" t="str">
        <v/>
      </c>
      <c r="AK172" s="1" t="str">
        <v/>
      </c>
      <c r="AL172" s="1" t="str">
        <v/>
      </c>
    </row>
    <row r="173">
      <c r="A173" s="1" t="str">
        <v>HIST-0172</v>
      </c>
      <c r="B173" s="1" t="str">
        <v>D0024</v>
      </c>
      <c r="C173" s="1" t="str">
        <v>Neobanco</v>
      </c>
      <c r="D173" s="1" t="str">
        <v/>
      </c>
      <c r="E173" s="1" t="str">
        <v>Modificación</v>
      </c>
      <c r="F173" s="1" t="str">
        <v>OP-0075, OP-0076</v>
      </c>
      <c r="G173" s="1" t="str">
        <v>Ricardo Garmendia</v>
      </c>
      <c r="H173" s="1" t="str">
        <v>Jose Seminario</v>
      </c>
      <c r="I173" s="1" t="str">
        <v/>
      </c>
      <c r="J173" s="1" t="str">
        <v>Franco Vasquez</v>
      </c>
      <c r="K173" s="1" t="str">
        <v>Luis Palomino</v>
      </c>
      <c r="L173" s="1" t="str">
        <v>WhatsApp</v>
      </c>
      <c r="M173" s="1" t="str">
        <v>2026-09-08</v>
      </c>
      <c r="N173" s="1" t="str">
        <v/>
      </c>
      <c r="O173" s="1" t="str">
        <v/>
      </c>
      <c r="P173" s="1" t="str">
        <v/>
      </c>
      <c r="Q173" s="1" t="str">
        <v>TBD</v>
      </c>
      <c r="R173" s="1" t="str">
        <f>IF(Q173="","","Q"&amp;ROUNDUP(MONTH(Q173)/3,0)&amp;"-"&amp;YEAR(Q173))</f>
        <v/>
      </c>
      <c r="S173" s="1" t="str">
        <v>Diseño</v>
      </c>
      <c r="T173" s="1" t="str">
        <v/>
      </c>
      <c r="U173" s="1" t="str">
        <v/>
      </c>
      <c r="V173" s="1" t="str">
        <v/>
      </c>
      <c r="W173" s="1" t="str">
        <v>Media</v>
      </c>
      <c r="X173" s="1" t="str">
        <v/>
      </c>
      <c r="Y173" s="1" t="str">
        <v/>
      </c>
      <c r="Z173" s="1" t="str">
        <v/>
      </c>
      <c r="AA173" s="1" t="str">
        <v/>
      </c>
      <c r="AB173" s="1" t="str">
        <v/>
      </c>
      <c r="AC173" s="1" t="str">
        <v>Neobanco lo entregó en el Q2, BCRP tambien lo modificará, La modificación se diseño pero no ha iniciado desarrollo</v>
      </c>
      <c r="AD173" s="1" t="str">
        <v/>
      </c>
      <c r="AE173" s="1" t="str">
        <v/>
      </c>
      <c r="AF173" s="1" t="str">
        <v/>
      </c>
      <c r="AG173" s="1" t="str">
        <v/>
      </c>
      <c r="AH173" s="1" t="str">
        <v/>
      </c>
      <c r="AI173" s="1" t="str">
        <v/>
      </c>
      <c r="AJ173" s="1" t="str">
        <v/>
      </c>
      <c r="AK173" s="1" t="str">
        <v/>
      </c>
      <c r="AL173" s="1" t="str">
        <v/>
      </c>
    </row>
    <row r="174">
      <c r="A174" s="1" t="str">
        <v>HIST-0173</v>
      </c>
      <c r="B174" s="1" t="str">
        <v>D0025</v>
      </c>
      <c r="C174" s="1" t="str">
        <v>Neobanco</v>
      </c>
      <c r="D174" s="1" t="str">
        <v/>
      </c>
      <c r="E174" s="1" t="str">
        <v>Reutilización</v>
      </c>
      <c r="F174" s="1" t="str">
        <v>OP-0077, OP-0078, OP-0079, OP-0080</v>
      </c>
      <c r="G174" s="1" t="str">
        <v>Ricardo Garmendia</v>
      </c>
      <c r="H174" s="1" t="str">
        <v>Jose Seminario</v>
      </c>
      <c r="I174" s="1" t="str">
        <v/>
      </c>
      <c r="J174" s="1" t="str">
        <v>Franco Vasquez</v>
      </c>
      <c r="K174" s="1" t="str">
        <v>Luis Palomino</v>
      </c>
      <c r="L174" s="1" t="str">
        <v>WhatsApp</v>
      </c>
      <c r="M174" s="1" t="str">
        <v>2026-09-08</v>
      </c>
      <c r="N174" s="1" t="str">
        <v/>
      </c>
      <c r="O174" s="1" t="str">
        <v/>
      </c>
      <c r="P174" s="1" t="str">
        <v/>
      </c>
      <c r="Q174" s="1" t="str">
        <v>TBD</v>
      </c>
      <c r="R174" s="1" t="str">
        <f>IF(Q174="","","Q"&amp;ROUNDUP(MONTH(Q174)/3,0)&amp;"-"&amp;YEAR(Q174))</f>
        <v/>
      </c>
      <c r="S174" s="1" t="str">
        <v>Diseño</v>
      </c>
      <c r="T174" s="1" t="str">
        <v/>
      </c>
      <c r="U174" s="1" t="str">
        <v/>
      </c>
      <c r="V174" s="1" t="str">
        <v/>
      </c>
      <c r="W174" s="1" t="str">
        <v>Media</v>
      </c>
      <c r="X174" s="1" t="str">
        <v/>
      </c>
      <c r="Y174" s="1" t="str">
        <v/>
      </c>
      <c r="Z174" s="1" t="str">
        <v/>
      </c>
      <c r="AA174" s="1" t="str">
        <v/>
      </c>
      <c r="AB174" s="1" t="str">
        <v/>
      </c>
      <c r="AC174" s="1" t="str">
        <v>Interconexion lo entrega en el Q3, aquí se reusará</v>
      </c>
      <c r="AD174" s="1" t="str">
        <v/>
      </c>
      <c r="AE174" s="1" t="str">
        <v/>
      </c>
      <c r="AF174" s="1" t="str">
        <v/>
      </c>
      <c r="AG174" s="1" t="str">
        <v/>
      </c>
      <c r="AH174" s="1" t="str">
        <v/>
      </c>
      <c r="AI174" s="1" t="str">
        <v/>
      </c>
      <c r="AJ174" s="1" t="str">
        <v/>
      </c>
      <c r="AK174" s="1" t="str">
        <v/>
      </c>
      <c r="AL174" s="1" t="str">
        <v/>
      </c>
    </row>
    <row r="175">
      <c r="A175" s="1" t="str">
        <v>HIST-0174</v>
      </c>
      <c r="B175" s="1" t="str">
        <v>D0111</v>
      </c>
      <c r="C175" s="1" t="str">
        <v>Satelite de Seguros</v>
      </c>
      <c r="D175" s="1" t="str">
        <v/>
      </c>
      <c r="E175" s="1" t="str">
        <v>Reutilización</v>
      </c>
      <c r="F175" s="1" t="str">
        <v/>
      </c>
      <c r="G175" s="1" t="str">
        <v>Cesar Kroll</v>
      </c>
      <c r="H175" s="1" t="str">
        <v>Sin TTL</v>
      </c>
      <c r="I175" s="1" t="str">
        <v>Estefany Pimentel</v>
      </c>
      <c r="J175" s="1" t="str">
        <v>Christian Pinco</v>
      </c>
      <c r="K175" s="1" t="str">
        <v>Christian Tineo</v>
      </c>
      <c r="L175" s="1" t="str">
        <v>CRM</v>
      </c>
      <c r="M175" s="1" t="str">
        <v>2026-07-08</v>
      </c>
      <c r="N175" s="1" t="str">
        <v/>
      </c>
      <c r="O175" s="1" t="str">
        <v/>
      </c>
      <c r="P175" s="1" t="str">
        <v/>
      </c>
      <c r="Q175" s="1" t="str">
        <v>TBD</v>
      </c>
      <c r="R175" s="1" t="str">
        <f>IF(Q175="","","Q"&amp;ROUNDUP(MONTH(Q175)/3,0)&amp;"-"&amp;YEAR(Q175))</f>
        <v/>
      </c>
      <c r="S175" s="1" t="str">
        <v>Identificado</v>
      </c>
      <c r="T175" s="1" t="str">
        <v/>
      </c>
      <c r="U175" s="1" t="str">
        <v/>
      </c>
      <c r="V175" s="1" t="str">
        <v/>
      </c>
      <c r="W175" s="1" t="str">
        <v>Media</v>
      </c>
      <c r="X175" s="1" t="str">
        <v/>
      </c>
      <c r="Y175" s="1" t="str">
        <v/>
      </c>
      <c r="Z175" s="1" t="str">
        <v>2026-06-30</v>
      </c>
      <c r="AA175" s="1" t="str">
        <v/>
      </c>
      <c r="AB175" s="1" t="str">
        <v/>
      </c>
      <c r="AC175" s="1" t="str">
        <v>Se identifica apis que deben crearse bajo el proyecto del Nuevo Core-Gestión de Garantías</v>
      </c>
      <c r="AD175" s="1" t="str">
        <v/>
      </c>
      <c r="AE175" s="1" t="str">
        <v/>
      </c>
      <c r="AF175" s="1" t="str">
        <v/>
      </c>
      <c r="AG175" s="1" t="str">
        <v>Finalizado</v>
      </c>
      <c r="AH175" s="1" t="str">
        <v>Finalizado</v>
      </c>
      <c r="AI175" s="1" t="str">
        <v/>
      </c>
      <c r="AJ175" s="1" t="str">
        <v/>
      </c>
      <c r="AK175" s="1" t="str">
        <v/>
      </c>
      <c r="AL175" s="1" t="str">
        <v/>
      </c>
    </row>
    <row r="176">
      <c r="A176" s="1" t="str">
        <v>HIST-0175</v>
      </c>
      <c r="B176" s="1" t="str">
        <v>D0027</v>
      </c>
      <c r="C176" s="1" t="str">
        <v>Neobanco</v>
      </c>
      <c r="D176" s="1" t="str">
        <v/>
      </c>
      <c r="E176" s="1" t="str">
        <v>Modificación</v>
      </c>
      <c r="F176" s="1" t="str">
        <v>OP-0081</v>
      </c>
      <c r="G176" s="1" t="str">
        <v>Ricardo Garmendia</v>
      </c>
      <c r="H176" s="1" t="str">
        <v>Jose Seminario</v>
      </c>
      <c r="I176" s="1" t="str">
        <v/>
      </c>
      <c r="J176" s="1" t="str">
        <v>Franco Vasquez</v>
      </c>
      <c r="K176" s="1" t="str">
        <v>Luis Palomino</v>
      </c>
      <c r="L176" s="1" t="str">
        <v>WhatsApp</v>
      </c>
      <c r="M176" s="1" t="str">
        <v>2026-07-08</v>
      </c>
      <c r="N176" s="1" t="str">
        <v/>
      </c>
      <c r="O176" s="1" t="str">
        <v/>
      </c>
      <c r="P176" s="1" t="str">
        <v/>
      </c>
      <c r="Q176" s="1" t="str">
        <v>TBD</v>
      </c>
      <c r="R176" s="1" t="str">
        <f>IF(Q176="","","Q"&amp;ROUNDUP(MONTH(Q176)/3,0)&amp;"-"&amp;YEAR(Q176))</f>
        <v/>
      </c>
      <c r="S176" s="1" t="str">
        <v>Diseño</v>
      </c>
      <c r="T176" s="1" t="str">
        <v/>
      </c>
      <c r="U176" s="1" t="str">
        <v/>
      </c>
      <c r="V176" s="1" t="str">
        <v/>
      </c>
      <c r="W176" s="1" t="str">
        <v>Media</v>
      </c>
      <c r="X176" s="1" t="str">
        <v/>
      </c>
      <c r="Y176" s="1" t="str">
        <v/>
      </c>
      <c r="Z176" s="1" t="str">
        <v/>
      </c>
      <c r="AA176" s="1" t="str">
        <v/>
      </c>
      <c r="AB176" s="1" t="str">
        <v/>
      </c>
      <c r="AC176" s="1" t="str">
        <v>Riesgos lo esta creando,  La modificación se diseño pero no ha iniciado desarrollo</v>
      </c>
      <c r="AD176" s="1" t="str">
        <v/>
      </c>
      <c r="AE176" s="1" t="str">
        <v/>
      </c>
      <c r="AF176" s="1" t="str">
        <v/>
      </c>
      <c r="AG176" s="1" t="str">
        <v/>
      </c>
      <c r="AH176" s="1" t="str">
        <v/>
      </c>
      <c r="AI176" s="1" t="str">
        <v/>
      </c>
      <c r="AJ176" s="1" t="str">
        <v/>
      </c>
      <c r="AK176" s="1" t="str">
        <v/>
      </c>
      <c r="AL176" s="1" t="str">
        <v/>
      </c>
    </row>
    <row r="177">
      <c r="A177" s="1" t="str">
        <v>HIST-0176</v>
      </c>
      <c r="B177" s="1" t="str">
        <v>D0007</v>
      </c>
      <c r="C177" s="1" t="str">
        <v>Neobanco</v>
      </c>
      <c r="D177" s="1" t="str">
        <v/>
      </c>
      <c r="E177" s="1" t="str">
        <v>Modificación</v>
      </c>
      <c r="F177" s="1" t="str">
        <v/>
      </c>
      <c r="G177" s="1" t="str">
        <v>Ricardo Garmendia</v>
      </c>
      <c r="H177" s="1" t="str">
        <v>Jose Seminario</v>
      </c>
      <c r="I177" s="1" t="str">
        <v/>
      </c>
      <c r="J177" s="1" t="str">
        <v>Franco Vasquez</v>
      </c>
      <c r="K177" s="1" t="str">
        <v>Jorge Zuñiga</v>
      </c>
      <c r="L177" s="1" t="str">
        <v>WhatsApp</v>
      </c>
      <c r="M177" s="1" t="str">
        <v>2026-07-07</v>
      </c>
      <c r="N177" s="1" t="str">
        <v/>
      </c>
      <c r="O177" s="1" t="str">
        <v/>
      </c>
      <c r="P177" s="1" t="str">
        <v/>
      </c>
      <c r="Q177" s="1" t="str">
        <v>2026-04-30</v>
      </c>
      <c r="R177" s="1" t="str">
        <f>IF(Q177="","","Q"&amp;ROUNDUP(MONTH(Q177)/3,0)&amp;"-"&amp;YEAR(Q177))</f>
        <v>Q2-2026</v>
      </c>
      <c r="S177" s="1" t="str">
        <v>Producción</v>
      </c>
      <c r="T177" s="1" t="str">
        <v/>
      </c>
      <c r="U177" s="1" t="str">
        <v/>
      </c>
      <c r="V177" s="1" t="str">
        <v/>
      </c>
      <c r="W177" s="1" t="str">
        <v>Media</v>
      </c>
      <c r="X177" s="1" t="str">
        <v/>
      </c>
      <c r="Y177" s="1" t="str">
        <v/>
      </c>
      <c r="Z177" s="1" t="str">
        <v>2026-07-07</v>
      </c>
      <c r="AA177" s="1" t="str">
        <v/>
      </c>
      <c r="AB177" s="1" t="str">
        <v/>
      </c>
      <c r="AC177" s="1" t="str">
        <v>API en Produccion por Neobanco Q1,  la modificación se entregó en el Q2</v>
      </c>
      <c r="AD177" s="1" t="str">
        <v/>
      </c>
      <c r="AE177" s="1" t="str">
        <v/>
      </c>
      <c r="AF177" s="1" t="str">
        <v/>
      </c>
      <c r="AG177" s="1" t="str">
        <v>En proceso</v>
      </c>
      <c r="AH177" s="1" t="str">
        <v/>
      </c>
      <c r="AI177" s="1" t="str">
        <v/>
      </c>
      <c r="AJ177" s="1" t="str">
        <v/>
      </c>
      <c r="AK177" s="1" t="str">
        <v/>
      </c>
      <c r="AL177" s="1" t="str">
        <v/>
      </c>
    </row>
    <row r="178">
      <c r="A178" s="1" t="str">
        <v>HIST-0177</v>
      </c>
      <c r="B178" s="1" t="str">
        <v>D0112</v>
      </c>
      <c r="C178" s="1" t="str">
        <v>Neobanco</v>
      </c>
      <c r="D178" s="1" t="str">
        <v/>
      </c>
      <c r="E178" s="1" t="str">
        <v>Creación</v>
      </c>
      <c r="F178" s="1" t="str">
        <v/>
      </c>
      <c r="G178" s="1" t="str">
        <v>Ricardo Garmendia</v>
      </c>
      <c r="H178" s="1" t="str">
        <v>Jose Seminario</v>
      </c>
      <c r="I178" s="1" t="str">
        <v/>
      </c>
      <c r="J178" s="1" t="str">
        <v>Franco Vasquez</v>
      </c>
      <c r="K178" s="1" t="str">
        <v>Jorge Zuñiga</v>
      </c>
      <c r="L178" s="1" t="str">
        <v>WhatsApp</v>
      </c>
      <c r="M178" s="1" t="str">
        <v>2026-07-07</v>
      </c>
      <c r="N178" s="1" t="str">
        <v/>
      </c>
      <c r="O178" s="1" t="str">
        <v/>
      </c>
      <c r="P178" s="1" t="str">
        <v/>
      </c>
      <c r="Q178" s="1" t="str">
        <v/>
      </c>
      <c r="R178" s="1" t="str">
        <f>IF(Q178="","","Q"&amp;ROUNDUP(MONTH(Q178)/3,0)&amp;"-"&amp;YEAR(Q178))</f>
        <v/>
      </c>
      <c r="S178" s="1" t="str">
        <v>Diseño</v>
      </c>
      <c r="T178" s="1" t="str">
        <v/>
      </c>
      <c r="U178" s="1" t="str">
        <v/>
      </c>
      <c r="V178" s="1" t="str">
        <v/>
      </c>
      <c r="W178" s="1" t="str">
        <v>Media</v>
      </c>
      <c r="X178" s="1" t="str">
        <v/>
      </c>
      <c r="Y178" s="1" t="str">
        <v/>
      </c>
      <c r="Z178" s="1" t="str">
        <v>2026-06-30</v>
      </c>
      <c r="AA178" s="1" t="str">
        <v/>
      </c>
      <c r="AB178" s="1" t="str">
        <v/>
      </c>
      <c r="AC178" s="1" t="str">
        <v>Se desestimó</v>
      </c>
      <c r="AD178" s="1" t="str">
        <v/>
      </c>
      <c r="AE178" s="1" t="str">
        <v/>
      </c>
      <c r="AF178" s="1" t="str">
        <v/>
      </c>
      <c r="AG178" s="1" t="str">
        <v>Finalizado</v>
      </c>
      <c r="AH178" s="1" t="str">
        <v>Finalizado</v>
      </c>
      <c r="AI178" s="1" t="str">
        <v/>
      </c>
      <c r="AJ178" s="1" t="str">
        <v/>
      </c>
      <c r="AK178" s="1" t="str">
        <v/>
      </c>
      <c r="AL178" s="1" t="str">
        <v/>
      </c>
    </row>
    <row r="179">
      <c r="A179" s="1" t="str">
        <v>HIST-0178</v>
      </c>
      <c r="B179" s="1" t="str">
        <v>D0013</v>
      </c>
      <c r="C179" s="1" t="str">
        <v>Neobanco</v>
      </c>
      <c r="D179" s="1" t="str">
        <v/>
      </c>
      <c r="E179" s="1" t="str">
        <v>Creación</v>
      </c>
      <c r="F179" s="1" t="str">
        <v/>
      </c>
      <c r="G179" s="1" t="str">
        <v>Ricardo Garmendia</v>
      </c>
      <c r="H179" s="1" t="str">
        <v>Jose Seminario</v>
      </c>
      <c r="I179" s="1" t="str">
        <v/>
      </c>
      <c r="J179" s="1" t="str">
        <v>Franco Vasquez</v>
      </c>
      <c r="K179" s="1" t="str">
        <v>Jorge Zuñiga</v>
      </c>
      <c r="L179" s="1" t="str">
        <v>WhatsApp</v>
      </c>
      <c r="M179" s="1" t="str">
        <v>2026-07-07</v>
      </c>
      <c r="N179" s="1" t="str">
        <v/>
      </c>
      <c r="O179" s="1" t="str">
        <v/>
      </c>
      <c r="P179" s="1" t="str">
        <v/>
      </c>
      <c r="Q179" s="1" t="str">
        <v>TBD</v>
      </c>
      <c r="R179" s="1" t="str">
        <f>IF(Q179="","","Q"&amp;ROUNDUP(MONTH(Q179)/3,0)&amp;"-"&amp;YEAR(Q179))</f>
        <v/>
      </c>
      <c r="S179" s="1" t="str">
        <v>Diseño</v>
      </c>
      <c r="T179" s="1" t="str">
        <v/>
      </c>
      <c r="U179" s="1" t="str">
        <v/>
      </c>
      <c r="V179" s="1" t="str">
        <v/>
      </c>
      <c r="W179" s="1" t="str">
        <v>Alta</v>
      </c>
      <c r="X179" s="1" t="str">
        <v/>
      </c>
      <c r="Y179" s="1" t="str">
        <v/>
      </c>
      <c r="Z179" s="1" t="str">
        <v>2026-07-07</v>
      </c>
      <c r="AA179" s="1" t="str">
        <v/>
      </c>
      <c r="AB179" s="1" t="str">
        <v/>
      </c>
      <c r="AC179" s="1" t="str">
        <v>Diseñado pero no ha iniciado desarrollo, Interconexion lo entrega en el Q3</v>
      </c>
      <c r="AD179" s="1" t="str">
        <v/>
      </c>
      <c r="AE179" s="1" t="str">
        <v/>
      </c>
      <c r="AF179" s="1" t="str">
        <v/>
      </c>
      <c r="AG179" s="1" t="str">
        <v>Finalizado</v>
      </c>
      <c r="AH179" s="1" t="str">
        <v>En proceso</v>
      </c>
      <c r="AI179" s="1" t="str">
        <v/>
      </c>
      <c r="AJ179" s="1" t="str">
        <v/>
      </c>
      <c r="AK179" s="1" t="str">
        <v/>
      </c>
      <c r="AL179" s="1" t="str">
        <v/>
      </c>
    </row>
    <row r="180">
      <c r="A180" s="1" t="str">
        <v>HIST-0179</v>
      </c>
      <c r="B180" s="1" t="str">
        <v>D0011</v>
      </c>
      <c r="C180" s="1" t="str">
        <v>Aliados Comerciales</v>
      </c>
      <c r="D180" s="1" t="str">
        <v/>
      </c>
      <c r="E180" s="1" t="str">
        <v>Creación</v>
      </c>
      <c r="F180" s="1" t="str">
        <v/>
      </c>
      <c r="G180" s="1" t="str">
        <v>Sandra Chipoco</v>
      </c>
      <c r="H180" s="1" t="str">
        <v>Gianny Alfaro</v>
      </c>
      <c r="I180" s="1" t="str">
        <v>Helwa Gil</v>
      </c>
      <c r="J180" s="1" t="str">
        <v>Liseel Valer</v>
      </c>
      <c r="K180" s="1" t="str">
        <v>Jorge Zuñiga</v>
      </c>
      <c r="L180" s="1" t="str">
        <v>Aliados Comerciales</v>
      </c>
      <c r="M180" s="1" t="str">
        <v>2026-07-07</v>
      </c>
      <c r="N180" s="1" t="str">
        <v/>
      </c>
      <c r="O180" s="1" t="str">
        <v/>
      </c>
      <c r="P180" s="1" t="str">
        <v/>
      </c>
      <c r="Q180" s="1" t="str">
        <v>TBD</v>
      </c>
      <c r="R180" s="1" t="str">
        <f>IF(Q180="","","Q"&amp;ROUNDUP(MONTH(Q180)/3,0)&amp;"-"&amp;YEAR(Q180))</f>
        <v/>
      </c>
      <c r="S180" s="1" t="str">
        <v>Identificado</v>
      </c>
      <c r="T180" s="1" t="str">
        <v/>
      </c>
      <c r="U180" s="1" t="str">
        <v/>
      </c>
      <c r="V180" s="1" t="str">
        <v/>
      </c>
      <c r="W180" s="1" t="str">
        <v>Media</v>
      </c>
      <c r="X180" s="1" t="str">
        <v/>
      </c>
      <c r="Y180" s="1" t="str">
        <v/>
      </c>
      <c r="Z180" s="1" t="str">
        <v>2026-07-07</v>
      </c>
      <c r="AA180" s="1" t="str">
        <v/>
      </c>
      <c r="AB180" s="1" t="str">
        <v/>
      </c>
      <c r="AC180" s="1" t="str">
        <v>no inicia el diseño, el proyecto esta pidiendo el presupuesto necesario</v>
      </c>
      <c r="AD180" s="1" t="str">
        <v/>
      </c>
      <c r="AE180" s="1" t="str">
        <v/>
      </c>
      <c r="AF180" s="1" t="str">
        <v/>
      </c>
      <c r="AG180" s="1" t="str">
        <v>Finalizado</v>
      </c>
      <c r="AH180" s="1" t="str">
        <v>En proceso</v>
      </c>
      <c r="AI180" s="1" t="str">
        <v/>
      </c>
      <c r="AJ180" s="1" t="str">
        <v/>
      </c>
      <c r="AK180" s="1" t="str">
        <v/>
      </c>
      <c r="AL180" s="1" t="str">
        <v/>
      </c>
    </row>
    <row r="181">
      <c r="A181" s="1" t="str">
        <v>HIST-0180</v>
      </c>
      <c r="B181" s="1" t="str">
        <v>D0039</v>
      </c>
      <c r="C181" s="1" t="str">
        <v>Aliados Comerciales</v>
      </c>
      <c r="D181" s="1" t="str">
        <v/>
      </c>
      <c r="E181" s="1" t="str">
        <v>Modificación</v>
      </c>
      <c r="F181" s="1" t="str">
        <v/>
      </c>
      <c r="G181" s="1" t="str">
        <v>Sandra Chipoco</v>
      </c>
      <c r="H181" s="1" t="str">
        <v>Gianny Alfaro</v>
      </c>
      <c r="I181" s="1" t="str">
        <v>Helwa Gil</v>
      </c>
      <c r="J181" s="1" t="str">
        <v>Liseel Valer</v>
      </c>
      <c r="K181" s="1" t="str">
        <v>Jorge Zuñiga</v>
      </c>
      <c r="L181" s="1" t="str">
        <v>Aliados Comerciales</v>
      </c>
      <c r="M181" s="1" t="str">
        <v>2026-07-07</v>
      </c>
      <c r="N181" s="1" t="str">
        <v/>
      </c>
      <c r="O181" s="1" t="str">
        <v/>
      </c>
      <c r="P181" s="1" t="str">
        <v/>
      </c>
      <c r="Q181" s="1" t="str">
        <v>TBD</v>
      </c>
      <c r="R181" s="1" t="str">
        <f>IF(Q181="","","Q"&amp;ROUNDUP(MONTH(Q181)/3,0)&amp;"-"&amp;YEAR(Q181))</f>
        <v/>
      </c>
      <c r="S181" s="1" t="str">
        <v>Producción</v>
      </c>
      <c r="T181" s="1" t="str">
        <v/>
      </c>
      <c r="U181" s="1" t="str">
        <v/>
      </c>
      <c r="V181" s="1" t="str">
        <v/>
      </c>
      <c r="W181" s="1" t="str">
        <v>Media</v>
      </c>
      <c r="X181" s="1" t="str">
        <v/>
      </c>
      <c r="Y181" s="1" t="str">
        <v/>
      </c>
      <c r="Z181" s="1" t="str">
        <v>2026-07-08</v>
      </c>
      <c r="AA181" s="1" t="str">
        <v/>
      </c>
      <c r="AB181" s="1" t="str">
        <v/>
      </c>
      <c r="AC181" s="1" t="str">
        <v>Neobanco lo entrego en el Q1, Urpi Pro en Q2, no inicia el diseño de este proyecto, el proyecto esta pidiendo el presupuesto necesario</v>
      </c>
      <c r="AD181" s="1" t="str">
        <v/>
      </c>
      <c r="AE181" s="1" t="str">
        <v/>
      </c>
      <c r="AF181" s="1" t="str">
        <v/>
      </c>
      <c r="AG181" s="1" t="str">
        <v/>
      </c>
      <c r="AH181" s="1" t="str">
        <v/>
      </c>
      <c r="AI181" s="1" t="str">
        <v/>
      </c>
      <c r="AJ181" s="1" t="str">
        <v/>
      </c>
      <c r="AK181" s="1" t="str">
        <v/>
      </c>
      <c r="AL181" s="1" t="str">
        <v/>
      </c>
    </row>
    <row r="182" xml:space="preserve">
      <c r="A182" s="1" t="str">
        <v>HIST-0181</v>
      </c>
      <c r="B182" s="1" t="str">
        <v>D0002</v>
      </c>
      <c r="C182" s="1" t="str">
        <v>Satélite de Riesgos "Base Negativa"</v>
      </c>
      <c r="D182" s="1" t="str">
        <v/>
      </c>
      <c r="E182" s="1" t="str">
        <v>Modificación</v>
      </c>
      <c r="F182" s="1" t="str">
        <v/>
      </c>
      <c r="G182" s="1" t="str">
        <v>Vanessa Vera / Miguel García</v>
      </c>
      <c r="H182" s="1" t="str">
        <v>Nelson Cuba</v>
      </c>
      <c r="I182" s="1" t="str">
        <v>Paola Casanova</v>
      </c>
      <c r="J182" s="1" t="str">
        <v>Wilfredo Centurion / Carlos Zuñiga</v>
      </c>
      <c r="K182" s="1" t="str">
        <v>Alan Gutierrez</v>
      </c>
      <c r="L182" s="1" t="str">
        <v>nueva APP, CRM, Urpi Pro, Yape</v>
      </c>
      <c r="M182" s="1" t="str">
        <v>2026-07-07</v>
      </c>
      <c r="N182" s="1" t="str">
        <v/>
      </c>
      <c r="O182" s="1" t="str">
        <v/>
      </c>
      <c r="P182" s="1" t="str">
        <v/>
      </c>
      <c r="Q182" s="1" t="str">
        <v>2026-12-31</v>
      </c>
      <c r="R182" s="1" t="str">
        <f>IF(Q182="","","Q"&amp;ROUNDUP(MONTH(Q182)/3,0)&amp;"-"&amp;YEAR(Q182))</f>
        <v>Q4-2026</v>
      </c>
      <c r="S182" s="1" t="str">
        <v>Desarrollo</v>
      </c>
      <c r="T182" s="1" t="str">
        <v/>
      </c>
      <c r="U182" s="1" t="str">
        <v/>
      </c>
      <c r="V182" s="1" t="str">
        <v/>
      </c>
      <c r="W182" s="1" t="str">
        <v>Media</v>
      </c>
      <c r="X182" s="1" t="str">
        <v/>
      </c>
      <c r="Y182" s="1" t="str">
        <v/>
      </c>
      <c r="Z182" s="1" t="str">
        <v>2026-07-07</v>
      </c>
      <c r="AA182" s="1" t="str">
        <v/>
      </c>
      <c r="AB182" s="1" t="str">
        <v/>
      </c>
      <c r="AC182" s="1" t="str" xml:space="preserve">
        <v xml:space="preserve">- Se agrega un SD por cambio de alcance.
- Satelite de Riesgos R4 según programa del CORE se denomina Base Negativa.</v>
      </c>
      <c r="AD182" s="1" t="str">
        <v/>
      </c>
      <c r="AE182" s="1" t="str">
        <v/>
      </c>
      <c r="AF182" s="1" t="str">
        <v/>
      </c>
      <c r="AG182" s="1" t="str">
        <v>Finalizado</v>
      </c>
      <c r="AH182" s="1" t="str">
        <v>Finalizado</v>
      </c>
      <c r="AI182" s="1" t="str">
        <v/>
      </c>
      <c r="AJ182" s="1" t="str">
        <v/>
      </c>
      <c r="AK182" s="1" t="str">
        <v/>
      </c>
      <c r="AL182" s="1" t="str">
        <v/>
      </c>
    </row>
    <row r="183">
      <c r="A183" s="1" t="str">
        <v>HIST-0182</v>
      </c>
      <c r="B183" s="1" t="str">
        <v>D0115</v>
      </c>
      <c r="C183" s="1" t="str">
        <v>Desembolsos Yape</v>
      </c>
      <c r="D183" s="1" t="str">
        <v/>
      </c>
      <c r="E183" s="1" t="str">
        <v/>
      </c>
      <c r="F183" s="1" t="str">
        <v>OP-0082, OP-0083, OP-0084</v>
      </c>
      <c r="G183" s="1" t="str">
        <v>Karina Huaman</v>
      </c>
      <c r="H183" s="1" t="str">
        <v>Gianny Alfaro</v>
      </c>
      <c r="I183" s="1" t="str">
        <v/>
      </c>
      <c r="J183" s="1" t="str">
        <v>Hamlet Rengifo</v>
      </c>
      <c r="K183" s="1" t="str">
        <v>Jaime Henriquez</v>
      </c>
      <c r="L183" s="1" t="str">
        <v>Yape</v>
      </c>
      <c r="M183" s="1" t="str">
        <v>2026-06-25</v>
      </c>
      <c r="N183" s="1" t="str">
        <v/>
      </c>
      <c r="O183" s="1" t="str">
        <v/>
      </c>
      <c r="P183" s="1" t="str">
        <v/>
      </c>
      <c r="Q183" s="1" t="str">
        <v>2025-06-30</v>
      </c>
      <c r="R183" s="1" t="str">
        <f>IF(Q183="","","Q"&amp;ROUNDUP(MONTH(Q183)/3,0)&amp;"-"&amp;YEAR(Q183))</f>
        <v>Q2-2025</v>
      </c>
      <c r="S183" s="1" t="str">
        <v>Producción</v>
      </c>
      <c r="T183" s="1" t="str">
        <v/>
      </c>
      <c r="U183" s="1" t="str">
        <v/>
      </c>
      <c r="V183" s="1" t="str">
        <v/>
      </c>
      <c r="W183" s="1" t="str">
        <v>Baja</v>
      </c>
      <c r="X183" s="1" t="str">
        <v/>
      </c>
      <c r="Y183" s="1" t="str">
        <v/>
      </c>
      <c r="Z183" s="1" t="str">
        <v/>
      </c>
      <c r="AA183" s="1" t="str">
        <v/>
      </c>
      <c r="AB183" s="1" t="str">
        <v/>
      </c>
      <c r="AC183" s="1" t="str">
        <v>- API UX no bianizada</v>
      </c>
      <c r="AD183" s="1" t="str">
        <v/>
      </c>
      <c r="AE183" s="1" t="str">
        <v/>
      </c>
      <c r="AF183" s="1" t="str">
        <v/>
      </c>
      <c r="AG183" s="1" t="str">
        <v/>
      </c>
      <c r="AH183" s="1" t="str">
        <v/>
      </c>
      <c r="AI183" s="1" t="str">
        <v/>
      </c>
      <c r="AJ183" s="1" t="str">
        <v/>
      </c>
      <c r="AK183" s="1" t="str">
        <v/>
      </c>
      <c r="AL183" s="1" t="str">
        <v/>
      </c>
    </row>
    <row r="184">
      <c r="A184" s="1" t="str">
        <v>HIST-0183</v>
      </c>
      <c r="B184" s="1" t="str">
        <v>D0116</v>
      </c>
      <c r="C184" s="1" t="str">
        <v>Desembolsos Yape</v>
      </c>
      <c r="D184" s="1" t="str">
        <v/>
      </c>
      <c r="E184" s="1" t="str">
        <v/>
      </c>
      <c r="F184" s="1" t="str">
        <v>OP-0085</v>
      </c>
      <c r="G184" s="1" t="str">
        <v>Karina Huaman</v>
      </c>
      <c r="H184" s="1" t="str">
        <v>Gianny Alfaro</v>
      </c>
      <c r="I184" s="1" t="str">
        <v/>
      </c>
      <c r="J184" s="1" t="str">
        <v>Hamlet Rengifo</v>
      </c>
      <c r="K184" s="1" t="str">
        <v>Jaime Henriquez</v>
      </c>
      <c r="L184" s="1" t="str">
        <v>Yape</v>
      </c>
      <c r="M184" s="1" t="str">
        <v>2026-06-25</v>
      </c>
      <c r="N184" s="1" t="str">
        <v/>
      </c>
      <c r="O184" s="1" t="str">
        <v/>
      </c>
      <c r="P184" s="1" t="str">
        <v/>
      </c>
      <c r="Q184" s="1" t="str">
        <v>2025-06-30</v>
      </c>
      <c r="R184" s="1" t="str">
        <f>IF(Q184="","","Q"&amp;ROUNDUP(MONTH(Q184)/3,0)&amp;"-"&amp;YEAR(Q184))</f>
        <v>Q2-2025</v>
      </c>
      <c r="S184" s="1" t="str">
        <v>Producción</v>
      </c>
      <c r="T184" s="1" t="str">
        <v/>
      </c>
      <c r="U184" s="1" t="str">
        <v/>
      </c>
      <c r="V184" s="1" t="str">
        <v/>
      </c>
      <c r="W184" s="1" t="str">
        <v>Baja</v>
      </c>
      <c r="X184" s="1" t="str">
        <v/>
      </c>
      <c r="Y184" s="1" t="str">
        <v/>
      </c>
      <c r="Z184" s="1" t="str">
        <v/>
      </c>
      <c r="AA184" s="1" t="str">
        <v/>
      </c>
      <c r="AB184" s="1" t="str">
        <v/>
      </c>
      <c r="AC184" s="1" t="str">
        <v>- API BS no bianizada</v>
      </c>
      <c r="AD184" s="1" t="str">
        <v/>
      </c>
      <c r="AE184" s="1" t="str">
        <v/>
      </c>
      <c r="AF184" s="1" t="str">
        <v/>
      </c>
      <c r="AG184" s="1" t="str">
        <v/>
      </c>
      <c r="AH184" s="1" t="str">
        <v/>
      </c>
      <c r="AI184" s="1" t="str">
        <v/>
      </c>
      <c r="AJ184" s="1" t="str">
        <v/>
      </c>
      <c r="AK184" s="1" t="str">
        <v/>
      </c>
      <c r="AL184" s="1" t="str">
        <v/>
      </c>
    </row>
    <row r="185">
      <c r="A185" s="1" t="str">
        <v>HIST-0184</v>
      </c>
      <c r="B185" s="1" t="str">
        <v>D0117</v>
      </c>
      <c r="C185" s="1" t="str">
        <v>Desembolsos Yape</v>
      </c>
      <c r="D185" s="1" t="str">
        <v/>
      </c>
      <c r="E185" s="1" t="str">
        <v/>
      </c>
      <c r="F185" s="1" t="str">
        <v>OP-0086</v>
      </c>
      <c r="G185" s="1" t="str">
        <v>Karina Huaman</v>
      </c>
      <c r="H185" s="1" t="str">
        <v>Gianny Alfaro</v>
      </c>
      <c r="I185" s="1" t="str">
        <v/>
      </c>
      <c r="J185" s="1" t="str">
        <v>Hamlet Rengifo</v>
      </c>
      <c r="K185" s="1" t="str">
        <v>Jaime Henriquez</v>
      </c>
      <c r="L185" s="1" t="str">
        <v>Yape</v>
      </c>
      <c r="M185" s="1" t="str">
        <v>2026-06-25</v>
      </c>
      <c r="N185" s="1" t="str">
        <v/>
      </c>
      <c r="O185" s="1" t="str">
        <v/>
      </c>
      <c r="P185" s="1" t="str">
        <v/>
      </c>
      <c r="Q185" s="1" t="str">
        <v>2025-06-30</v>
      </c>
      <c r="R185" s="1" t="str">
        <f>IF(Q185="","","Q"&amp;ROUNDUP(MONTH(Q185)/3,0)&amp;"-"&amp;YEAR(Q185))</f>
        <v>Q2-2025</v>
      </c>
      <c r="S185" s="1" t="str">
        <v>Producción</v>
      </c>
      <c r="T185" s="1" t="str">
        <v/>
      </c>
      <c r="U185" s="1" t="str">
        <v/>
      </c>
      <c r="V185" s="1" t="str">
        <v/>
      </c>
      <c r="W185" s="1" t="str">
        <v>Baja</v>
      </c>
      <c r="X185" s="1" t="str">
        <v/>
      </c>
      <c r="Y185" s="1" t="str">
        <v/>
      </c>
      <c r="Z185" s="1" t="str">
        <v>2026-06-30</v>
      </c>
      <c r="AA185" s="1" t="str">
        <v/>
      </c>
      <c r="AB185" s="1" t="str">
        <v/>
      </c>
      <c r="AC185" s="1" t="str">
        <v>- API UX no bianizada</v>
      </c>
      <c r="AD185" s="1" t="str">
        <v/>
      </c>
      <c r="AE185" s="1" t="str">
        <v/>
      </c>
      <c r="AF185" s="1" t="str">
        <v/>
      </c>
      <c r="AG185" s="1" t="str">
        <v>Finalizado</v>
      </c>
      <c r="AH185" s="1" t="str">
        <v>Finalizado</v>
      </c>
      <c r="AI185" s="1" t="str">
        <v/>
      </c>
      <c r="AJ185" s="1" t="str">
        <v/>
      </c>
      <c r="AK185" s="1" t="str">
        <v/>
      </c>
      <c r="AL185" s="1" t="str">
        <v/>
      </c>
    </row>
    <row r="186">
      <c r="A186" s="1" t="str">
        <v>HIST-0185</v>
      </c>
      <c r="B186" s="1" t="str">
        <v>D0118</v>
      </c>
      <c r="C186" s="1" t="str">
        <v>Desembolsos Yape</v>
      </c>
      <c r="D186" s="1" t="str">
        <v/>
      </c>
      <c r="E186" s="1" t="str">
        <v/>
      </c>
      <c r="F186" s="1" t="str">
        <v>OP-0087</v>
      </c>
      <c r="G186" s="1" t="str">
        <v>Karina Huaman</v>
      </c>
      <c r="H186" s="1" t="str">
        <v>Gianny Alfaro</v>
      </c>
      <c r="I186" s="1" t="str">
        <v/>
      </c>
      <c r="J186" s="1" t="str">
        <v>Hamlet Rengifo</v>
      </c>
      <c r="K186" s="1" t="str">
        <v>Jaime Henriquez</v>
      </c>
      <c r="L186" s="1" t="str">
        <v>Yape</v>
      </c>
      <c r="M186" s="1" t="str">
        <v>2026-06-25</v>
      </c>
      <c r="N186" s="1" t="str">
        <v/>
      </c>
      <c r="O186" s="1" t="str">
        <v/>
      </c>
      <c r="P186" s="1" t="str">
        <v/>
      </c>
      <c r="Q186" s="1" t="str">
        <v>2025-06-30</v>
      </c>
      <c r="R186" s="1" t="str">
        <f>IF(Q186="","","Q"&amp;ROUNDUP(MONTH(Q186)/3,0)&amp;"-"&amp;YEAR(Q186))</f>
        <v>Q2-2025</v>
      </c>
      <c r="S186" s="1" t="str">
        <v>Producción</v>
      </c>
      <c r="T186" s="1" t="str">
        <v/>
      </c>
      <c r="U186" s="1" t="str">
        <v/>
      </c>
      <c r="V186" s="1" t="str">
        <v/>
      </c>
      <c r="W186" s="1" t="str">
        <v>Baja</v>
      </c>
      <c r="X186" s="1" t="str">
        <v/>
      </c>
      <c r="Y186" s="1" t="str">
        <v/>
      </c>
      <c r="Z186" s="1" t="str">
        <v>2026-06-30</v>
      </c>
      <c r="AA186" s="1" t="str">
        <v/>
      </c>
      <c r="AB186" s="1" t="str">
        <v/>
      </c>
      <c r="AC186" s="1" t="str">
        <v>- API BS no bianizada</v>
      </c>
      <c r="AD186" s="1" t="str">
        <v/>
      </c>
      <c r="AE186" s="1" t="str">
        <v/>
      </c>
      <c r="AF186" s="1" t="str">
        <v/>
      </c>
      <c r="AG186" s="1" t="str">
        <v>Finalizado</v>
      </c>
      <c r="AH186" s="1" t="str">
        <v>Finalizado</v>
      </c>
      <c r="AI186" s="1" t="str">
        <v/>
      </c>
      <c r="AJ186" s="1" t="str">
        <v/>
      </c>
      <c r="AK186" s="1" t="str">
        <v/>
      </c>
      <c r="AL186" s="1" t="str">
        <v/>
      </c>
    </row>
    <row r="187">
      <c r="A187" s="1" t="str">
        <v>HIST-0186</v>
      </c>
      <c r="B187" s="1" t="str">
        <v>D0119</v>
      </c>
      <c r="C187" s="1" t="str">
        <v>Desembolsos Yape</v>
      </c>
      <c r="D187" s="1" t="str">
        <v/>
      </c>
      <c r="E187" s="1" t="str">
        <v/>
      </c>
      <c r="F187" s="1" t="str">
        <v>OP-0088</v>
      </c>
      <c r="G187" s="1" t="str">
        <v>Karina Huaman</v>
      </c>
      <c r="H187" s="1" t="str">
        <v>Gianny Alfaro</v>
      </c>
      <c r="I187" s="1" t="str">
        <v/>
      </c>
      <c r="J187" s="1" t="str">
        <v>Hamlet Rengifo</v>
      </c>
      <c r="K187" s="1" t="str">
        <v>Jaime Henriquez</v>
      </c>
      <c r="L187" s="1" t="str">
        <v>Yape</v>
      </c>
      <c r="M187" s="1" t="str">
        <v>2026-06-25</v>
      </c>
      <c r="N187" s="1" t="str">
        <v/>
      </c>
      <c r="O187" s="1" t="str">
        <v/>
      </c>
      <c r="P187" s="1" t="str">
        <v/>
      </c>
      <c r="Q187" s="1" t="str">
        <v>2025-06-30</v>
      </c>
      <c r="R187" s="1" t="str">
        <f>IF(Q187="","","Q"&amp;ROUNDUP(MONTH(Q187)/3,0)&amp;"-"&amp;YEAR(Q187))</f>
        <v>Q2-2025</v>
      </c>
      <c r="S187" s="1" t="str">
        <v>Producción</v>
      </c>
      <c r="T187" s="1" t="str">
        <v/>
      </c>
      <c r="U187" s="1" t="str">
        <v/>
      </c>
      <c r="V187" s="1" t="str">
        <v/>
      </c>
      <c r="W187" s="1" t="str">
        <v>Baja</v>
      </c>
      <c r="X187" s="1" t="str">
        <v/>
      </c>
      <c r="Y187" s="1" t="str">
        <v/>
      </c>
      <c r="Z187" s="1" t="str">
        <v>2026-06-30</v>
      </c>
      <c r="AA187" s="1" t="str">
        <v/>
      </c>
      <c r="AB187" s="1" t="str">
        <v/>
      </c>
      <c r="AC187" s="1" t="str">
        <v>- API BS no bianizada</v>
      </c>
      <c r="AD187" s="1" t="str">
        <v/>
      </c>
      <c r="AE187" s="1" t="str">
        <v/>
      </c>
      <c r="AF187" s="1" t="str">
        <v/>
      </c>
      <c r="AG187" s="1" t="str">
        <v>Finalizado</v>
      </c>
      <c r="AH187" s="1" t="str">
        <v>Finalizado</v>
      </c>
      <c r="AI187" s="1" t="str">
        <v/>
      </c>
      <c r="AJ187" s="1" t="str">
        <v/>
      </c>
      <c r="AK187" s="1" t="str">
        <v/>
      </c>
      <c r="AL187" s="1" t="str">
        <v/>
      </c>
    </row>
    <row r="188">
      <c r="A188" s="1" t="str">
        <v>HIST-0187</v>
      </c>
      <c r="B188" s="1" t="str">
        <v>D0120</v>
      </c>
      <c r="C188" s="1" t="str">
        <v>Desembolsos Yape</v>
      </c>
      <c r="D188" s="1" t="str">
        <v/>
      </c>
      <c r="E188" s="1" t="str">
        <v/>
      </c>
      <c r="F188" s="1" t="str">
        <v>OP-0089</v>
      </c>
      <c r="G188" s="1" t="str">
        <v>Karina Huaman</v>
      </c>
      <c r="H188" s="1" t="str">
        <v>Gianny Alfaro</v>
      </c>
      <c r="I188" s="1" t="str">
        <v/>
      </c>
      <c r="J188" s="1" t="str">
        <v>Hamlet Rengifo</v>
      </c>
      <c r="K188" s="1" t="str">
        <v>Jaime Henriquez</v>
      </c>
      <c r="L188" s="1" t="str">
        <v>Yape</v>
      </c>
      <c r="M188" s="1" t="str">
        <v>2026-06-25</v>
      </c>
      <c r="N188" s="1" t="str">
        <v/>
      </c>
      <c r="O188" s="1" t="str">
        <v/>
      </c>
      <c r="P188" s="1" t="str">
        <v/>
      </c>
      <c r="Q188" s="1" t="str">
        <v>2025-06-30</v>
      </c>
      <c r="R188" s="1" t="str">
        <f>IF(Q188="","","Q"&amp;ROUNDUP(MONTH(Q188)/3,0)&amp;"-"&amp;YEAR(Q188))</f>
        <v>Q2-2025</v>
      </c>
      <c r="S188" s="1" t="str">
        <v>Producción</v>
      </c>
      <c r="T188" s="1" t="str">
        <v/>
      </c>
      <c r="U188" s="1" t="str">
        <v/>
      </c>
      <c r="V188" s="1" t="str">
        <v/>
      </c>
      <c r="W188" s="1" t="str">
        <v>Media</v>
      </c>
      <c r="X188" s="1" t="str">
        <v/>
      </c>
      <c r="Y188" s="1" t="str">
        <v/>
      </c>
      <c r="Z188" s="1" t="str">
        <v/>
      </c>
      <c r="AA188" s="1" t="str">
        <v/>
      </c>
      <c r="AB188" s="1" t="str">
        <v/>
      </c>
      <c r="AC188" s="1" t="str">
        <v>- API BS no bianzada, pero será reemplazada por el D0221</v>
      </c>
      <c r="AD188" s="1" t="str">
        <v/>
      </c>
      <c r="AE188" s="1" t="str">
        <v/>
      </c>
      <c r="AF188" s="1" t="str">
        <v/>
      </c>
      <c r="AG188" s="1" t="str">
        <v/>
      </c>
      <c r="AH188" s="1" t="str">
        <v/>
      </c>
      <c r="AI188" s="1" t="str">
        <v/>
      </c>
      <c r="AJ188" s="1" t="str">
        <v/>
      </c>
      <c r="AK188" s="1" t="str">
        <v/>
      </c>
      <c r="AL188" s="1" t="str">
        <v/>
      </c>
    </row>
    <row r="189">
      <c r="A189" s="1" t="str">
        <v>HIST-0188</v>
      </c>
      <c r="B189" s="1" t="str">
        <v>D0121</v>
      </c>
      <c r="C189" s="1" t="str">
        <v>Fraudes</v>
      </c>
      <c r="D189" s="1" t="str">
        <v/>
      </c>
      <c r="E189" s="1" t="str">
        <v>Creación</v>
      </c>
      <c r="F189" s="1" t="str">
        <v>OP-0090, OP-0091, OP-0092, OP-0093, OP-0094, OP-0095, OP-0096</v>
      </c>
      <c r="G189" s="1" t="str">
        <v>Manuel Espin</v>
      </c>
      <c r="H189" s="1" t="str">
        <v>Nelson Cuba</v>
      </c>
      <c r="I189" s="1" t="str">
        <v>Jossi Chamorro</v>
      </c>
      <c r="J189" s="1" t="str">
        <v>Jerameel Benites</v>
      </c>
      <c r="K189" s="1" t="str">
        <v>José Zumaeta</v>
      </c>
      <c r="L189" s="1" t="str">
        <v>Canales</v>
      </c>
      <c r="M189" s="1" t="str">
        <v>2026-06-25</v>
      </c>
      <c r="N189" s="1" t="str">
        <v/>
      </c>
      <c r="O189" s="1" t="str">
        <v/>
      </c>
      <c r="P189" s="1" t="str">
        <v/>
      </c>
      <c r="Q189" s="1" t="str">
        <v>2026-06-16</v>
      </c>
      <c r="R189" s="1" t="str">
        <f>IF(Q189="","","Q"&amp;ROUNDUP(MONTH(Q189)/3,0)&amp;"-"&amp;YEAR(Q189))</f>
        <v>Q2-2026</v>
      </c>
      <c r="S189" s="1" t="str">
        <v>Producción</v>
      </c>
      <c r="T189" s="1" t="str">
        <v/>
      </c>
      <c r="U189" s="1" t="str">
        <v/>
      </c>
      <c r="V189" s="1" t="str">
        <v/>
      </c>
      <c r="W189" s="1" t="str">
        <v>Alta</v>
      </c>
      <c r="X189" s="1" t="str">
        <v/>
      </c>
      <c r="Y189" s="1" t="str">
        <v/>
      </c>
      <c r="Z189" s="1" t="str">
        <v/>
      </c>
      <c r="AA189" s="1" t="str">
        <v/>
      </c>
      <c r="AB189" s="1" t="str">
        <v/>
      </c>
      <c r="AC189" s="1" t="str">
        <v>- API BS no bianizada</v>
      </c>
      <c r="AD189" s="1" t="str">
        <v/>
      </c>
      <c r="AE189" s="1" t="str">
        <v/>
      </c>
      <c r="AF189" s="1" t="str">
        <v/>
      </c>
      <c r="AG189" s="1" t="str">
        <v/>
      </c>
      <c r="AH189" s="1" t="str">
        <v/>
      </c>
      <c r="AI189" s="1" t="str">
        <v/>
      </c>
      <c r="AJ189" s="1" t="str">
        <v/>
      </c>
      <c r="AK189" s="1" t="str">
        <v/>
      </c>
      <c r="AL189" s="1" t="str">
        <v/>
      </c>
    </row>
    <row r="190">
      <c r="A190" s="1" t="str">
        <v>HIST-0189</v>
      </c>
      <c r="B190" s="1" t="str">
        <v>D0122</v>
      </c>
      <c r="C190" s="1" t="str">
        <v>Distribuidor de campañas</v>
      </c>
      <c r="D190" s="1" t="str">
        <v/>
      </c>
      <c r="E190" s="1" t="str">
        <v/>
      </c>
      <c r="F190" s="1" t="str">
        <v/>
      </c>
      <c r="G190" s="1" t="str">
        <v>Miguel Loayza</v>
      </c>
      <c r="H190" s="1" t="str">
        <v>Gianny Alfaro</v>
      </c>
      <c r="I190" s="1" t="str">
        <v/>
      </c>
      <c r="J190" s="1" t="str">
        <v>Danny Mercado</v>
      </c>
      <c r="K190" s="1" t="str">
        <v>José Zumaeta</v>
      </c>
      <c r="L190" s="1" t="str">
        <v/>
      </c>
      <c r="M190" s="1" t="str">
        <v/>
      </c>
      <c r="N190" s="1" t="str">
        <v/>
      </c>
      <c r="O190" s="1" t="str">
        <v/>
      </c>
      <c r="P190" s="1" t="str">
        <v/>
      </c>
      <c r="Q190" s="1" t="str">
        <v/>
      </c>
      <c r="R190" s="1" t="str">
        <f>IF(Q190="","","Q"&amp;ROUNDUP(MONTH(Q190)/3,0)&amp;"-"&amp;YEAR(Q190))</f>
        <v/>
      </c>
      <c r="S190" s="1" t="str">
        <v/>
      </c>
      <c r="T190" s="1" t="str">
        <v/>
      </c>
      <c r="U190" s="1" t="str">
        <v/>
      </c>
      <c r="V190" s="1" t="str">
        <v/>
      </c>
      <c r="W190" s="1" t="str">
        <v/>
      </c>
      <c r="X190" s="1" t="str">
        <v/>
      </c>
      <c r="Y190" s="1" t="str">
        <v/>
      </c>
      <c r="Z190" s="1" t="str">
        <v/>
      </c>
      <c r="AA190" s="1" t="str">
        <v/>
      </c>
      <c r="AB190" s="1" t="str">
        <v/>
      </c>
      <c r="AC190" s="1" t="str">
        <v>API UX pasado a producción</v>
      </c>
      <c r="AD190" s="1" t="str">
        <v/>
      </c>
      <c r="AE190" s="1" t="str">
        <v/>
      </c>
      <c r="AF190" s="1" t="str">
        <v/>
      </c>
      <c r="AG190" s="1" t="str">
        <v/>
      </c>
      <c r="AH190" s="1" t="str">
        <v/>
      </c>
      <c r="AI190" s="1" t="str">
        <v/>
      </c>
      <c r="AJ190" s="1" t="str">
        <v/>
      </c>
      <c r="AK190" s="1" t="str">
        <v/>
      </c>
      <c r="AL190" s="1" t="str">
        <v/>
      </c>
    </row>
    <row r="191">
      <c r="A191" s="1" t="str">
        <v>HIST-0190</v>
      </c>
      <c r="B191" s="1" t="str">
        <v>D0122</v>
      </c>
      <c r="C191" s="1" t="str">
        <v>Distribuidor de campañas</v>
      </c>
      <c r="D191" s="1" t="str">
        <v/>
      </c>
      <c r="E191" s="1" t="str">
        <v/>
      </c>
      <c r="F191" s="1" t="str">
        <v/>
      </c>
      <c r="G191" s="1" t="str">
        <v>Miguel Loayza</v>
      </c>
      <c r="H191" s="1" t="str">
        <v>Gianny Alfaro</v>
      </c>
      <c r="I191" s="1" t="str">
        <v/>
      </c>
      <c r="J191" s="1" t="str">
        <v>Danny Mercado</v>
      </c>
      <c r="K191" s="1" t="str">
        <v>José Zumaeta</v>
      </c>
      <c r="L191" s="1" t="str">
        <v/>
      </c>
      <c r="M191" s="1" t="str">
        <v/>
      </c>
      <c r="N191" s="1" t="str">
        <v/>
      </c>
      <c r="O191" s="1" t="str">
        <v/>
      </c>
      <c r="P191" s="1" t="str">
        <v/>
      </c>
      <c r="Q191" s="1" t="str">
        <v/>
      </c>
      <c r="R191" s="1" t="str">
        <f>IF(Q191="","","Q"&amp;ROUNDUP(MONTH(Q191)/3,0)&amp;"-"&amp;YEAR(Q191))</f>
        <v/>
      </c>
      <c r="S191" s="1" t="str">
        <v/>
      </c>
      <c r="T191" s="1" t="str">
        <v/>
      </c>
      <c r="U191" s="1" t="str">
        <v/>
      </c>
      <c r="V191" s="1" t="str">
        <v/>
      </c>
      <c r="W191" s="1" t="str">
        <v/>
      </c>
      <c r="X191" s="1" t="str">
        <v/>
      </c>
      <c r="Y191" s="1" t="str">
        <v/>
      </c>
      <c r="Z191" s="1" t="str">
        <v/>
      </c>
      <c r="AA191" s="1" t="str">
        <v/>
      </c>
      <c r="AB191" s="1" t="str">
        <v/>
      </c>
      <c r="AC191" s="1" t="str">
        <v>API UX pasado a producción</v>
      </c>
      <c r="AD191" s="1" t="str">
        <v/>
      </c>
      <c r="AE191" s="1" t="str">
        <v/>
      </c>
      <c r="AF191" s="1" t="str">
        <v/>
      </c>
      <c r="AG191" s="1" t="str">
        <v/>
      </c>
      <c r="AH191" s="1" t="str">
        <v/>
      </c>
      <c r="AI191" s="1" t="str">
        <v/>
      </c>
      <c r="AJ191" s="1" t="str">
        <v/>
      </c>
      <c r="AK191" s="1" t="str">
        <v/>
      </c>
      <c r="AL191" s="1" t="str">
        <v/>
      </c>
    </row>
    <row r="192">
      <c r="A192" s="1" t="str">
        <v>HIST-0191</v>
      </c>
      <c r="B192" s="1" t="str">
        <v>D0122</v>
      </c>
      <c r="C192" s="1" t="str">
        <v>Distribuidor de campañas</v>
      </c>
      <c r="D192" s="1" t="str">
        <v/>
      </c>
      <c r="E192" s="1" t="str">
        <v/>
      </c>
      <c r="F192" s="1" t="str">
        <v/>
      </c>
      <c r="G192" s="1" t="str">
        <v>Miguel Loayza</v>
      </c>
      <c r="H192" s="1" t="str">
        <v>Gianny Alfaro</v>
      </c>
      <c r="I192" s="1" t="str">
        <v/>
      </c>
      <c r="J192" s="1" t="str">
        <v>Danny Mercado</v>
      </c>
      <c r="K192" s="1" t="str">
        <v>José Zumaeta</v>
      </c>
      <c r="L192" s="1" t="str">
        <v/>
      </c>
      <c r="M192" s="1" t="str">
        <v/>
      </c>
      <c r="N192" s="1" t="str">
        <v/>
      </c>
      <c r="O192" s="1" t="str">
        <v/>
      </c>
      <c r="P192" s="1" t="str">
        <v/>
      </c>
      <c r="Q192" s="1" t="str">
        <v/>
      </c>
      <c r="R192" s="1" t="str">
        <f>IF(Q192="","","Q"&amp;ROUNDUP(MONTH(Q192)/3,0)&amp;"-"&amp;YEAR(Q192))</f>
        <v/>
      </c>
      <c r="S192" s="1" t="str">
        <v/>
      </c>
      <c r="T192" s="1" t="str">
        <v/>
      </c>
      <c r="U192" s="1" t="str">
        <v/>
      </c>
      <c r="V192" s="1" t="str">
        <v/>
      </c>
      <c r="W192" s="1" t="str">
        <v/>
      </c>
      <c r="X192" s="1" t="str">
        <v/>
      </c>
      <c r="Y192" s="1" t="str">
        <v/>
      </c>
      <c r="Z192" s="1" t="str">
        <v/>
      </c>
      <c r="AA192" s="1" t="str">
        <v/>
      </c>
      <c r="AB192" s="1" t="str">
        <v/>
      </c>
      <c r="AC192" s="1" t="str">
        <v>API BS pasado a producción</v>
      </c>
      <c r="AD192" s="1" t="str">
        <v/>
      </c>
      <c r="AE192" s="1" t="str">
        <v/>
      </c>
      <c r="AF192" s="1" t="str">
        <v/>
      </c>
      <c r="AG192" s="1" t="str">
        <v/>
      </c>
      <c r="AH192" s="1" t="str">
        <v/>
      </c>
      <c r="AI192" s="1" t="str">
        <v/>
      </c>
      <c r="AJ192" s="1" t="str">
        <v/>
      </c>
      <c r="AK192" s="1" t="str">
        <v/>
      </c>
      <c r="AL192" s="1" t="str">
        <v/>
      </c>
    </row>
    <row r="193">
      <c r="A193" s="1" t="str">
        <v>HIST-0192</v>
      </c>
      <c r="B193" s="1" t="str">
        <v>D0122</v>
      </c>
      <c r="C193" s="1" t="str">
        <v>Nueva APP</v>
      </c>
      <c r="D193" s="1" t="str">
        <v/>
      </c>
      <c r="E193" s="1" t="str">
        <v>Modificación</v>
      </c>
      <c r="F193" s="1" t="str">
        <v>OP-0097</v>
      </c>
      <c r="G193" s="1" t="str">
        <v>Rocio Arboleda</v>
      </c>
      <c r="H193" s="1" t="str">
        <v>Gianny Alfaro</v>
      </c>
      <c r="I193" s="1" t="str">
        <v/>
      </c>
      <c r="J193" s="1" t="str">
        <v xml:space="preserve">Ever Justo </v>
      </c>
      <c r="K193" s="1" t="str">
        <v>José Zumaeta</v>
      </c>
      <c r="L193" s="1" t="str">
        <v/>
      </c>
      <c r="M193" s="1" t="str">
        <v/>
      </c>
      <c r="N193" s="1" t="str">
        <v/>
      </c>
      <c r="O193" s="1" t="str">
        <v/>
      </c>
      <c r="P193" s="1" t="str">
        <v/>
      </c>
      <c r="Q193" s="1" t="str">
        <v>TBD</v>
      </c>
      <c r="R193" s="1" t="str">
        <f>IF(Q193="","","Q"&amp;ROUNDUP(MONTH(Q193)/3,0)&amp;"-"&amp;YEAR(Q193))</f>
        <v/>
      </c>
      <c r="S193" s="1" t="str">
        <v>Producción</v>
      </c>
      <c r="T193" s="1" t="str">
        <v/>
      </c>
      <c r="U193" s="1" t="str">
        <v/>
      </c>
      <c r="V193" s="1" t="str">
        <v/>
      </c>
      <c r="W193" s="1" t="str">
        <v/>
      </c>
      <c r="X193" s="1" t="str">
        <v/>
      </c>
      <c r="Y193" s="1" t="str">
        <v/>
      </c>
      <c r="Z193" s="1" t="str">
        <v/>
      </c>
      <c r="AA193" s="1" t="str">
        <v/>
      </c>
      <c r="AB193" s="1" t="str">
        <v/>
      </c>
      <c r="AC193" s="1" t="str">
        <v/>
      </c>
      <c r="AD193" s="1" t="str">
        <v/>
      </c>
      <c r="AE193" s="1" t="str">
        <v/>
      </c>
      <c r="AF193" s="1" t="str">
        <v/>
      </c>
      <c r="AG193" s="1" t="str">
        <v/>
      </c>
      <c r="AH193" s="1" t="str">
        <v/>
      </c>
      <c r="AI193" s="1" t="str">
        <v/>
      </c>
      <c r="AJ193" s="1" t="str">
        <v/>
      </c>
      <c r="AK193" s="1" t="str">
        <v/>
      </c>
      <c r="AL193" s="1" t="str">
        <v/>
      </c>
    </row>
    <row r="194">
      <c r="A194" s="1" t="str">
        <v>HIST-0193</v>
      </c>
      <c r="B194" s="1" t="str">
        <v>D0123</v>
      </c>
      <c r="C194" s="1" t="str">
        <v>Nueva APP</v>
      </c>
      <c r="D194" s="1" t="str">
        <v/>
      </c>
      <c r="E194" s="1" t="str">
        <v>Modificación</v>
      </c>
      <c r="F194" s="1" t="str">
        <v>OP-0098</v>
      </c>
      <c r="G194" s="1" t="str">
        <v>Rocio Arboleda</v>
      </c>
      <c r="H194" s="1" t="str">
        <v>Gianny Alfaro</v>
      </c>
      <c r="I194" s="1" t="str">
        <v/>
      </c>
      <c r="J194" s="1" t="str">
        <v>Ever Justo</v>
      </c>
      <c r="K194" s="1" t="str">
        <v>José Zumaeta</v>
      </c>
      <c r="L194" s="1" t="str">
        <v/>
      </c>
      <c r="M194" s="1" t="str">
        <v/>
      </c>
      <c r="N194" s="1" t="str">
        <v/>
      </c>
      <c r="O194" s="1" t="str">
        <v/>
      </c>
      <c r="P194" s="1" t="str">
        <v/>
      </c>
      <c r="Q194" s="1" t="str">
        <v>TBD</v>
      </c>
      <c r="R194" s="1" t="str">
        <f>IF(Q194="","","Q"&amp;ROUNDUP(MONTH(Q194)/3,0)&amp;"-"&amp;YEAR(Q194))</f>
        <v/>
      </c>
      <c r="S194" s="1" t="str">
        <v>Producción</v>
      </c>
      <c r="T194" s="1" t="str">
        <v/>
      </c>
      <c r="U194" s="1" t="str">
        <v/>
      </c>
      <c r="V194" s="1" t="str">
        <v/>
      </c>
      <c r="W194" s="1" t="str">
        <v>Media</v>
      </c>
      <c r="X194" s="1" t="str">
        <v/>
      </c>
      <c r="Y194" s="1" t="str">
        <v/>
      </c>
      <c r="Z194" s="1" t="str">
        <v>2026-03-30</v>
      </c>
      <c r="AA194" s="1" t="str">
        <v/>
      </c>
      <c r="AB194" s="1" t="str">
        <v/>
      </c>
      <c r="AC194" s="1" t="str">
        <v/>
      </c>
      <c r="AD194" s="1" t="str">
        <v/>
      </c>
      <c r="AE194" s="1" t="str">
        <v/>
      </c>
      <c r="AF194" s="1" t="str">
        <v/>
      </c>
      <c r="AG194" s="1" t="str">
        <v/>
      </c>
      <c r="AH194" s="1" t="str">
        <v/>
      </c>
      <c r="AI194" s="1" t="str">
        <v/>
      </c>
      <c r="AJ194" s="1" t="str">
        <v/>
      </c>
      <c r="AK194" s="1" t="str">
        <v/>
      </c>
      <c r="AL194" s="1" t="str">
        <v/>
      </c>
    </row>
    <row r="195">
      <c r="A195" s="1" t="str">
        <v>HIST-0194</v>
      </c>
      <c r="B195" s="1" t="str">
        <v>D0009</v>
      </c>
      <c r="C195" s="1" t="str">
        <v>Satélite de Riesgos R4</v>
      </c>
      <c r="D195" s="1" t="str">
        <v/>
      </c>
      <c r="E195" s="1" t="str">
        <v>Modificación</v>
      </c>
      <c r="F195" s="1" t="str">
        <v/>
      </c>
      <c r="G195" s="1" t="str">
        <v>Vanessa Vera / Miguel García</v>
      </c>
      <c r="H195" s="1" t="str">
        <v>Nelson Cuba</v>
      </c>
      <c r="I195" s="1" t="str">
        <v>Paola Casanova</v>
      </c>
      <c r="J195" s="1" t="str">
        <v>Wilfredo Centurion / Carlos Zuñiga</v>
      </c>
      <c r="K195" s="1" t="str">
        <v>Alan Gutierrez</v>
      </c>
      <c r="L195" s="1" t="str">
        <v>nueva APP, CRM, Urpi Pro, Yape</v>
      </c>
      <c r="M195" s="1" t="str">
        <v>2026-07-07</v>
      </c>
      <c r="N195" s="1" t="str">
        <v/>
      </c>
      <c r="O195" s="1" t="str">
        <v/>
      </c>
      <c r="P195" s="1" t="str">
        <v/>
      </c>
      <c r="Q195" s="1" t="str">
        <v>2026-09-30</v>
      </c>
      <c r="R195" s="1" t="str">
        <f>IF(Q195="","","Q"&amp;ROUNDUP(MONTH(Q195)/3,0)&amp;"-"&amp;YEAR(Q195))</f>
        <v>Q3-2026</v>
      </c>
      <c r="S195" s="1" t="str">
        <v>Desarrollo</v>
      </c>
      <c r="T195" s="1" t="str">
        <v/>
      </c>
      <c r="U195" s="1" t="str">
        <v/>
      </c>
      <c r="V195" s="1" t="str">
        <v/>
      </c>
      <c r="W195" s="1" t="str">
        <v>Media</v>
      </c>
      <c r="X195" s="1" t="str">
        <v/>
      </c>
      <c r="Y195" s="1" t="str">
        <v/>
      </c>
      <c r="Z195" s="1" t="str">
        <v>2026-07-07</v>
      </c>
      <c r="AA195" s="1" t="str">
        <v/>
      </c>
      <c r="AB195" s="1" t="str">
        <v/>
      </c>
      <c r="AC195" s="1" t="str">
        <v>-Por el apetito del negocio el R3 se acota en el alcance y nace el R4.</v>
      </c>
      <c r="AD195" s="1" t="str">
        <v/>
      </c>
      <c r="AE195" s="1" t="str">
        <v/>
      </c>
      <c r="AF195" s="1" t="str">
        <v/>
      </c>
      <c r="AG195" s="1" t="str">
        <v>Finalizado</v>
      </c>
      <c r="AH195" s="1" t="str">
        <v>En proceso</v>
      </c>
      <c r="AI195" s="1" t="str">
        <v/>
      </c>
      <c r="AJ195" s="1" t="str">
        <v/>
      </c>
      <c r="AK195" s="1" t="str">
        <v/>
      </c>
      <c r="AL195" s="1" t="str">
        <v/>
      </c>
    </row>
    <row r="196">
      <c r="A196" s="1" t="str">
        <v>HIST-0195</v>
      </c>
      <c r="B196" s="1" t="str">
        <v>D0113</v>
      </c>
      <c r="C196" s="1" t="str">
        <v>Satélite de Riesgos R4</v>
      </c>
      <c r="D196" s="1" t="str">
        <v/>
      </c>
      <c r="E196" s="1" t="str">
        <v>Modificación</v>
      </c>
      <c r="F196" s="1" t="str">
        <v/>
      </c>
      <c r="G196" s="1" t="str">
        <v>Vanessa Vera / Miguel García</v>
      </c>
      <c r="H196" s="1" t="str">
        <v>Nelson Cuba</v>
      </c>
      <c r="I196" s="1" t="str">
        <v>Paola Casanova</v>
      </c>
      <c r="J196" s="1" t="str">
        <v>Wilfredo Centurion / Carlos Zuñiga</v>
      </c>
      <c r="K196" s="1" t="str">
        <v>Alan Gutierrez</v>
      </c>
      <c r="L196" s="1" t="str">
        <v>nueva APP, CRM, Urpi Pro, Yape</v>
      </c>
      <c r="M196" s="1" t="str">
        <v>2026-07-07</v>
      </c>
      <c r="N196" s="1" t="str">
        <v/>
      </c>
      <c r="O196" s="1" t="str">
        <v/>
      </c>
      <c r="P196" s="1" t="str">
        <v/>
      </c>
      <c r="Q196" s="1" t="str">
        <v>2026-09-30</v>
      </c>
      <c r="R196" s="1" t="str">
        <f>IF(Q196="","","Q"&amp;ROUNDUP(MONTH(Q196)/3,0)&amp;"-"&amp;YEAR(Q196))</f>
        <v>Q3-2026</v>
      </c>
      <c r="S196" s="1" t="str">
        <v>Desarrollo</v>
      </c>
      <c r="T196" s="1" t="str">
        <v/>
      </c>
      <c r="U196" s="1" t="str">
        <v/>
      </c>
      <c r="V196" s="1" t="str">
        <v/>
      </c>
      <c r="W196" s="1" t="str">
        <v>Media</v>
      </c>
      <c r="X196" s="1" t="str">
        <v/>
      </c>
      <c r="Y196" s="1" t="str">
        <v/>
      </c>
      <c r="Z196" s="1" t="str">
        <v>2026-06-30</v>
      </c>
      <c r="AA196" s="1" t="str">
        <v/>
      </c>
      <c r="AB196" s="1" t="str">
        <v/>
      </c>
      <c r="AC196" s="1" t="str">
        <v>-Por el apetito del negocio el R3 se acota en el alcance y nace el R4.</v>
      </c>
      <c r="AD196" s="1" t="str">
        <v/>
      </c>
      <c r="AE196" s="1" t="str">
        <v/>
      </c>
      <c r="AF196" s="1" t="str">
        <v/>
      </c>
      <c r="AG196" s="1" t="str">
        <v>Finalizado</v>
      </c>
      <c r="AH196" s="1" t="str">
        <v>Finalizado</v>
      </c>
      <c r="AI196" s="1" t="str">
        <v/>
      </c>
      <c r="AJ196" s="1" t="str">
        <v/>
      </c>
      <c r="AK196" s="1" t="str">
        <v/>
      </c>
      <c r="AL196" s="1" t="str">
        <v/>
      </c>
    </row>
    <row r="197">
      <c r="A197" s="1" t="str">
        <v>HIST-0196</v>
      </c>
      <c r="B197" s="1" t="str">
        <v>D0005</v>
      </c>
      <c r="C197" s="1" t="str">
        <v>Satélite de Riesgos R4</v>
      </c>
      <c r="D197" s="1" t="str">
        <v/>
      </c>
      <c r="E197" s="1" t="str">
        <v>Modificación</v>
      </c>
      <c r="F197" s="1" t="str">
        <v/>
      </c>
      <c r="G197" s="1" t="str">
        <v>Vanessa Vera / Miguel García</v>
      </c>
      <c r="H197" s="1" t="str">
        <v>Nelson Cuba</v>
      </c>
      <c r="I197" s="1" t="str">
        <v>Paola Casanova</v>
      </c>
      <c r="J197" s="1" t="str">
        <v>Wilfredo Centurion / Carlos Zuñiga</v>
      </c>
      <c r="K197" s="1" t="str">
        <v>Alan Gutierrez</v>
      </c>
      <c r="L197" s="1" t="str">
        <v>nueva APP, CRM, Urpi Pro, Yape</v>
      </c>
      <c r="M197" s="1" t="str">
        <v>2026-07-07</v>
      </c>
      <c r="N197" s="1" t="str">
        <v/>
      </c>
      <c r="O197" s="1" t="str">
        <v/>
      </c>
      <c r="P197" s="1" t="str">
        <v/>
      </c>
      <c r="Q197" s="1" t="str">
        <v>2026-09-30</v>
      </c>
      <c r="R197" s="1" t="str">
        <f>IF(Q197="","","Q"&amp;ROUNDUP(MONTH(Q197)/3,0)&amp;"-"&amp;YEAR(Q197))</f>
        <v>Q3-2026</v>
      </c>
      <c r="S197" s="1" t="str">
        <v>Desarrollo</v>
      </c>
      <c r="T197" s="1" t="str">
        <v/>
      </c>
      <c r="U197" s="1" t="str">
        <v/>
      </c>
      <c r="V197" s="1" t="str">
        <v/>
      </c>
      <c r="W197" s="1" t="str">
        <v>Media</v>
      </c>
      <c r="X197" s="1" t="str">
        <v/>
      </c>
      <c r="Y197" s="1" t="str">
        <v/>
      </c>
      <c r="Z197" s="1" t="str">
        <v>2026-07-07</v>
      </c>
      <c r="AA197" s="1" t="str">
        <v/>
      </c>
      <c r="AB197" s="1" t="str">
        <v/>
      </c>
      <c r="AC197" s="1" t="str">
        <v>-Por el apetito del negocio el R3 se acota en el alcance y nace el R4.</v>
      </c>
      <c r="AD197" s="1" t="str">
        <v/>
      </c>
      <c r="AE197" s="1" t="str">
        <v/>
      </c>
      <c r="AF197" s="1" t="str">
        <v/>
      </c>
      <c r="AG197" s="1" t="str">
        <v>Finalizado</v>
      </c>
      <c r="AH197" s="1" t="str">
        <v>Finalizado</v>
      </c>
      <c r="AI197" s="1" t="str">
        <v/>
      </c>
      <c r="AJ197" s="1" t="str">
        <v/>
      </c>
      <c r="AK197" s="1" t="str">
        <v/>
      </c>
      <c r="AL197" s="1" t="str">
        <v/>
      </c>
    </row>
    <row r="198">
      <c r="A198" s="1" t="str">
        <v>HIST-0197</v>
      </c>
      <c r="B198" s="1" t="str">
        <v>D0008</v>
      </c>
      <c r="C198" s="1" t="str">
        <v>Satélite de Riesgos R4</v>
      </c>
      <c r="D198" s="1" t="str">
        <v/>
      </c>
      <c r="E198" s="1" t="str">
        <v>Modificación</v>
      </c>
      <c r="F198" s="1" t="str">
        <v/>
      </c>
      <c r="G198" s="1" t="str">
        <v>Vanessa Vera / Miguel García</v>
      </c>
      <c r="H198" s="1" t="str">
        <v>Nelson Cuba</v>
      </c>
      <c r="I198" s="1" t="str">
        <v>Paola Casanova</v>
      </c>
      <c r="J198" s="1" t="str">
        <v>Wilfredo Centurion / Carlos Zuñiga</v>
      </c>
      <c r="K198" s="1" t="str">
        <v>Alan Gutierrez</v>
      </c>
      <c r="L198" s="1" t="str">
        <v>nueva APP, CRM, Urpi Pro, Yape</v>
      </c>
      <c r="M198" s="1" t="str">
        <v>2026-07-07</v>
      </c>
      <c r="N198" s="1" t="str">
        <v/>
      </c>
      <c r="O198" s="1" t="str">
        <v/>
      </c>
      <c r="P198" s="1" t="str">
        <v/>
      </c>
      <c r="Q198" s="1" t="str">
        <v>2026-09-30</v>
      </c>
      <c r="R198" s="1" t="str">
        <f>IF(Q198="","","Q"&amp;ROUNDUP(MONTH(Q198)/3,0)&amp;"-"&amp;YEAR(Q198))</f>
        <v>Q3-2026</v>
      </c>
      <c r="S198" s="1" t="str">
        <v>Desarrollo</v>
      </c>
      <c r="T198" s="1" t="str">
        <v/>
      </c>
      <c r="U198" s="1" t="str">
        <v/>
      </c>
      <c r="V198" s="1" t="str">
        <v/>
      </c>
      <c r="W198" s="1" t="str">
        <v>Media</v>
      </c>
      <c r="X198" s="1" t="str">
        <v/>
      </c>
      <c r="Y198" s="1" t="str">
        <v/>
      </c>
      <c r="Z198" s="1" t="str">
        <v>2026-07-07</v>
      </c>
      <c r="AA198" s="1" t="str">
        <v/>
      </c>
      <c r="AB198" s="1" t="str">
        <v/>
      </c>
      <c r="AC198" s="1" t="str">
        <v>-Por el apetito del negocio el R3 se acota en el alcance y nace el R4.</v>
      </c>
      <c r="AD198" s="1" t="str">
        <v/>
      </c>
      <c r="AE198" s="1" t="str">
        <v/>
      </c>
      <c r="AF198" s="1" t="str">
        <v/>
      </c>
      <c r="AG198" s="1" t="str">
        <v>Finalizado</v>
      </c>
      <c r="AH198" s="1" t="str">
        <v>Finalizado</v>
      </c>
      <c r="AI198" s="1" t="str">
        <v/>
      </c>
      <c r="AJ198" s="1" t="str">
        <v/>
      </c>
      <c r="AK198" s="1" t="str">
        <v/>
      </c>
      <c r="AL198" s="1" t="str">
        <v/>
      </c>
    </row>
    <row r="199">
      <c r="A199" s="1" t="str">
        <v>HIST-0198</v>
      </c>
      <c r="B199" s="1" t="str">
        <v>D0111</v>
      </c>
      <c r="C199" s="1" t="str">
        <v>Satélite de Riesgos R4</v>
      </c>
      <c r="D199" s="1" t="str">
        <v/>
      </c>
      <c r="E199" s="1" t="str">
        <v>Creación</v>
      </c>
      <c r="F199" s="1" t="str">
        <v/>
      </c>
      <c r="G199" s="1" t="str">
        <v>Vanessa Vera / Miguel García</v>
      </c>
      <c r="H199" s="1" t="str">
        <v>Nelson Cuba</v>
      </c>
      <c r="I199" s="1" t="str">
        <v>Paola Casanova</v>
      </c>
      <c r="J199" s="1" t="str">
        <v>Wilfredo Centurion / Carlos Zuñiga</v>
      </c>
      <c r="K199" s="1" t="str">
        <v>Alan Gutierrez</v>
      </c>
      <c r="L199" s="1" t="str">
        <v>nueva APP, CRM, Urpi Pro, Yape</v>
      </c>
      <c r="M199" s="1" t="str">
        <v>2026-07-07</v>
      </c>
      <c r="N199" s="1" t="str">
        <v/>
      </c>
      <c r="O199" s="1" t="str">
        <v/>
      </c>
      <c r="P199" s="1" t="str">
        <v/>
      </c>
      <c r="Q199" s="1" t="str">
        <v>2026-09-30</v>
      </c>
      <c r="R199" s="1" t="str">
        <f>IF(Q199="","","Q"&amp;ROUNDUP(MONTH(Q199)/3,0)&amp;"-"&amp;YEAR(Q199))</f>
        <v>Q3-2026</v>
      </c>
      <c r="S199" s="1" t="str">
        <v>Desarrollo</v>
      </c>
      <c r="T199" s="1" t="str">
        <v/>
      </c>
      <c r="U199" s="1" t="str">
        <v/>
      </c>
      <c r="V199" s="1" t="str">
        <v/>
      </c>
      <c r="W199" s="1" t="str">
        <v>Media</v>
      </c>
      <c r="X199" s="1" t="str">
        <v/>
      </c>
      <c r="Y199" s="1" t="str">
        <v/>
      </c>
      <c r="Z199" s="1" t="str">
        <v>2026-06-30</v>
      </c>
      <c r="AA199" s="1" t="str">
        <v/>
      </c>
      <c r="AB199" s="1" t="str">
        <v/>
      </c>
      <c r="AC199" s="1" t="str">
        <v>-Por el apetito del negocio el R3 se acota en el alcance y nace el R4, API se entregará en Q4</v>
      </c>
      <c r="AD199" s="1" t="str">
        <v/>
      </c>
      <c r="AE199" s="1" t="str">
        <v/>
      </c>
      <c r="AF199" s="1" t="str">
        <v/>
      </c>
      <c r="AG199" s="1" t="str">
        <v>Finalizado</v>
      </c>
      <c r="AH199" s="1" t="str">
        <v>Finalizado</v>
      </c>
      <c r="AI199" s="1" t="str">
        <v/>
      </c>
      <c r="AJ199" s="1" t="str">
        <v/>
      </c>
      <c r="AK199" s="1" t="str">
        <v/>
      </c>
      <c r="AL199" s="1" t="str">
        <v/>
      </c>
    </row>
    <row r="200">
      <c r="A200" s="1" t="str">
        <v>HIST-0199</v>
      </c>
      <c r="B200" s="1" t="str">
        <v>D0014</v>
      </c>
      <c r="C200" s="1" t="str">
        <v>Catalogo de Servicios de Interconexión</v>
      </c>
      <c r="D200" s="1" t="str">
        <v/>
      </c>
      <c r="E200" s="1" t="str">
        <v>Creación</v>
      </c>
      <c r="F200" s="1" t="str">
        <v/>
      </c>
      <c r="G200" s="1" t="str">
        <v>Ricardo Garmendia</v>
      </c>
      <c r="H200" s="1" t="str">
        <v>Sin TTL</v>
      </c>
      <c r="I200" s="1" t="str">
        <v>Victor Valqui</v>
      </c>
      <c r="J200" s="1" t="str">
        <v>Franklyn Velasco</v>
      </c>
      <c r="K200" s="1" t="str">
        <v>Alex Avila</v>
      </c>
      <c r="L200" s="1" t="str">
        <v>Whatsapp, Landing Pasivos, Agente BCP</v>
      </c>
      <c r="M200" s="1" t="str">
        <v>2026-07-02</v>
      </c>
      <c r="N200" s="1" t="str">
        <v/>
      </c>
      <c r="O200" s="1" t="str">
        <v/>
      </c>
      <c r="P200" s="1" t="str">
        <v/>
      </c>
      <c r="Q200" s="1" t="str">
        <v>2026-12-01</v>
      </c>
      <c r="R200" s="1" t="str">
        <f>IF(Q200="","","Q"&amp;ROUNDUP(MONTH(Q200)/3,0)&amp;"-"&amp;YEAR(Q200))</f>
        <v>Q4-2026</v>
      </c>
      <c r="S200" s="1" t="str">
        <v>Diseño</v>
      </c>
      <c r="T200" s="1" t="str">
        <v/>
      </c>
      <c r="U200" s="1" t="str">
        <v/>
      </c>
      <c r="V200" s="1" t="str">
        <v/>
      </c>
      <c r="W200" s="1" t="str">
        <v>Alta</v>
      </c>
      <c r="X200" s="1" t="str">
        <v/>
      </c>
      <c r="Y200" s="1" t="str">
        <v/>
      </c>
      <c r="Z200" s="1" t="str">
        <v>2026-07-07</v>
      </c>
      <c r="AA200" s="1" t="str">
        <v/>
      </c>
      <c r="AB200" s="1" t="str">
        <v/>
      </c>
      <c r="AC200" s="1" t="str">
        <v>Para el Q4</v>
      </c>
      <c r="AD200" s="1" t="str">
        <v/>
      </c>
      <c r="AE200" s="1" t="str">
        <v/>
      </c>
      <c r="AF200" s="1" t="str">
        <v/>
      </c>
      <c r="AG200" s="1" t="str">
        <v>Finalizado</v>
      </c>
      <c r="AH200" s="1" t="str">
        <v>En proceso</v>
      </c>
      <c r="AI200" s="1" t="str">
        <v/>
      </c>
      <c r="AJ200" s="1" t="str">
        <v/>
      </c>
      <c r="AK200" s="1" t="str">
        <v/>
      </c>
      <c r="AL200" s="1" t="str">
        <v/>
      </c>
    </row>
    <row r="201">
      <c r="A201" s="1" t="str">
        <v>HIST-0200</v>
      </c>
      <c r="B201" s="1" t="str">
        <v>D0031</v>
      </c>
      <c r="C201" s="1" t="str">
        <v>Catalogo de Servicios de Interconexión</v>
      </c>
      <c r="D201" s="1" t="str">
        <v/>
      </c>
      <c r="E201" s="1" t="str">
        <v>Creación</v>
      </c>
      <c r="F201" s="1" t="str">
        <v/>
      </c>
      <c r="G201" s="1" t="str">
        <v>Ricardo Garmendia</v>
      </c>
      <c r="H201" s="1" t="str">
        <v>Sin TTL</v>
      </c>
      <c r="I201" s="1" t="str">
        <v>Victor Valqui</v>
      </c>
      <c r="J201" s="1" t="str">
        <v>Franklyn Velasco</v>
      </c>
      <c r="K201" s="1" t="str">
        <v>Alex Avila</v>
      </c>
      <c r="L201" s="1" t="str">
        <v>Whatsapp, Landing Pasivos, Agente BCP</v>
      </c>
      <c r="M201" s="1" t="str">
        <v>2026-07-02</v>
      </c>
      <c r="N201" s="1" t="str">
        <v/>
      </c>
      <c r="O201" s="1" t="str">
        <v/>
      </c>
      <c r="P201" s="1" t="str">
        <v/>
      </c>
      <c r="Q201" s="1" t="str">
        <v>2026-12-01</v>
      </c>
      <c r="R201" s="1" t="str">
        <f>IF(Q201="","","Q"&amp;ROUNDUP(MONTH(Q201)/3,0)&amp;"-"&amp;YEAR(Q201))</f>
        <v>Q4-2026</v>
      </c>
      <c r="S201" s="1" t="str">
        <v>Diseño</v>
      </c>
      <c r="T201" s="1" t="str">
        <v/>
      </c>
      <c r="U201" s="1" t="str">
        <v/>
      </c>
      <c r="V201" s="1" t="str">
        <v/>
      </c>
      <c r="W201" s="1" t="str">
        <v>Alta</v>
      </c>
      <c r="X201" s="1" t="str">
        <v/>
      </c>
      <c r="Y201" s="1" t="str">
        <v/>
      </c>
      <c r="Z201" s="1" t="str">
        <v/>
      </c>
      <c r="AA201" s="1" t="str">
        <v/>
      </c>
      <c r="AB201" s="1" t="str">
        <v/>
      </c>
      <c r="AC201" s="1" t="str">
        <v>Para el Q4</v>
      </c>
      <c r="AD201" s="1" t="str">
        <v/>
      </c>
      <c r="AE201" s="1" t="str">
        <v/>
      </c>
      <c r="AF201" s="1" t="str">
        <v/>
      </c>
      <c r="AG201" s="1" t="str">
        <v/>
      </c>
      <c r="AH201" s="1" t="str">
        <v/>
      </c>
      <c r="AI201" s="1" t="str">
        <v/>
      </c>
      <c r="AJ201" s="1" t="str">
        <v/>
      </c>
      <c r="AK201" s="1" t="str">
        <v/>
      </c>
      <c r="AL201" s="1" t="str">
        <v/>
      </c>
    </row>
    <row r="202">
      <c r="A202" s="1" t="str">
        <v>HIST-0201</v>
      </c>
      <c r="B202" s="1" t="str">
        <v>D0043</v>
      </c>
      <c r="C202" s="1" t="str">
        <v>Catalogo de Servicios de Interconexión</v>
      </c>
      <c r="D202" s="1" t="str">
        <v/>
      </c>
      <c r="E202" s="1" t="str">
        <v>Creación</v>
      </c>
      <c r="F202" s="1" t="str">
        <v/>
      </c>
      <c r="G202" s="1" t="str">
        <v>Ricardo Garmendia</v>
      </c>
      <c r="H202" s="1" t="str">
        <v>Sin TTL</v>
      </c>
      <c r="I202" s="1" t="str">
        <v>Victor Valqui</v>
      </c>
      <c r="J202" s="1" t="str">
        <v>Franklyn Velasco</v>
      </c>
      <c r="K202" s="1" t="str">
        <v>Alex Avila</v>
      </c>
      <c r="L202" s="1" t="str">
        <v>Whatsapp, Landing Pasivos, Agente BCP</v>
      </c>
      <c r="M202" s="1" t="str">
        <v>2026-07-02</v>
      </c>
      <c r="N202" s="1" t="str">
        <v/>
      </c>
      <c r="O202" s="1" t="str">
        <v/>
      </c>
      <c r="P202" s="1" t="str">
        <v/>
      </c>
      <c r="Q202" s="1" t="str">
        <v>2026-12-01</v>
      </c>
      <c r="R202" s="1" t="str">
        <f>IF(Q202="","","Q"&amp;ROUNDUP(MONTH(Q202)/3,0)&amp;"-"&amp;YEAR(Q202))</f>
        <v>Q4-2026</v>
      </c>
      <c r="S202" s="1" t="str">
        <v>Diseño</v>
      </c>
      <c r="T202" s="1" t="str">
        <v/>
      </c>
      <c r="U202" s="1" t="str">
        <v/>
      </c>
      <c r="V202" s="1" t="str">
        <v/>
      </c>
      <c r="W202" s="1" t="str">
        <v>Alta</v>
      </c>
      <c r="X202" s="1" t="str">
        <v/>
      </c>
      <c r="Y202" s="1" t="str">
        <v/>
      </c>
      <c r="Z202" s="1" t="str">
        <v/>
      </c>
      <c r="AA202" s="1" t="str">
        <v/>
      </c>
      <c r="AB202" s="1" t="str">
        <v/>
      </c>
      <c r="AC202" s="1" t="str">
        <v>Para el Q4</v>
      </c>
      <c r="AD202" s="1" t="str">
        <v/>
      </c>
      <c r="AE202" s="1" t="str">
        <v/>
      </c>
      <c r="AF202" s="1" t="str">
        <v/>
      </c>
      <c r="AG202" s="1" t="str">
        <v/>
      </c>
      <c r="AH202" s="1" t="str">
        <v/>
      </c>
      <c r="AI202" s="1" t="str">
        <v/>
      </c>
      <c r="AJ202" s="1" t="str">
        <v/>
      </c>
      <c r="AK202" s="1" t="str">
        <v/>
      </c>
      <c r="AL202" s="1" t="str">
        <v/>
      </c>
    </row>
    <row r="203">
      <c r="A203" s="1" t="str">
        <v>HIST-0202</v>
      </c>
      <c r="B203" s="1" t="str">
        <v>D0013</v>
      </c>
      <c r="C203" s="1" t="str">
        <v>Catalogo de Servicios de Interconexión</v>
      </c>
      <c r="D203" s="1" t="str">
        <v/>
      </c>
      <c r="E203" s="1" t="str">
        <v>Creación</v>
      </c>
      <c r="F203" s="1" t="str">
        <v/>
      </c>
      <c r="G203" s="1" t="str">
        <v/>
      </c>
      <c r="H203" s="1" t="str">
        <v>Sin TTL</v>
      </c>
      <c r="I203" s="1" t="str">
        <v>Victor Valqui</v>
      </c>
      <c r="J203" s="1" t="str">
        <v>Franklyn Velasco</v>
      </c>
      <c r="K203" s="1" t="str">
        <v>Alex Avila</v>
      </c>
      <c r="L203" s="1" t="str">
        <v>Landing Pasivos</v>
      </c>
      <c r="M203" s="1" t="str">
        <v>2026-07-02</v>
      </c>
      <c r="N203" s="1" t="str">
        <v/>
      </c>
      <c r="O203" s="1" t="str">
        <v/>
      </c>
      <c r="P203" s="1" t="str">
        <v/>
      </c>
      <c r="Q203" s="1" t="str">
        <v>2026-09-30</v>
      </c>
      <c r="R203" s="1" t="str">
        <f>IF(Q203="","","Q"&amp;ROUNDUP(MONTH(Q203)/3,0)&amp;"-"&amp;YEAR(Q203))</f>
        <v>Q3-2026</v>
      </c>
      <c r="S203" s="1" t="str">
        <v>Diseño</v>
      </c>
      <c r="T203" s="1" t="str">
        <v/>
      </c>
      <c r="U203" s="1" t="str">
        <v/>
      </c>
      <c r="V203" s="1" t="str">
        <v/>
      </c>
      <c r="W203" s="1" t="str">
        <v>Alta</v>
      </c>
      <c r="X203" s="1" t="str">
        <v/>
      </c>
      <c r="Y203" s="1" t="str">
        <v/>
      </c>
      <c r="Z203" s="1" t="str">
        <v>2026-07-07</v>
      </c>
      <c r="AA203" s="1" t="str">
        <v/>
      </c>
      <c r="AB203" s="1" t="str">
        <v/>
      </c>
      <c r="AC203" s="1" t="str">
        <v>Para el Q3, API BIAN para el proceso de Onboarding</v>
      </c>
      <c r="AD203" s="1" t="str">
        <v/>
      </c>
      <c r="AE203" s="1" t="str">
        <v/>
      </c>
      <c r="AF203" s="1" t="str">
        <v/>
      </c>
      <c r="AG203" s="1" t="str">
        <v>Finalizado</v>
      </c>
      <c r="AH203" s="1" t="str">
        <v>En proceso</v>
      </c>
      <c r="AI203" s="1" t="str">
        <v/>
      </c>
      <c r="AJ203" s="1" t="str">
        <v/>
      </c>
      <c r="AK203" s="1" t="str">
        <v/>
      </c>
      <c r="AL203" s="1" t="str">
        <v/>
      </c>
    </row>
    <row r="204">
      <c r="A204" s="1" t="str">
        <v>HIST-0203</v>
      </c>
      <c r="B204" s="1" t="str">
        <v>D0124</v>
      </c>
      <c r="C204" s="1" t="str">
        <v>Catalogo de Servicios de Interconexión</v>
      </c>
      <c r="D204" s="1" t="str">
        <v/>
      </c>
      <c r="E204" s="1" t="str">
        <v>Creación</v>
      </c>
      <c r="F204" s="1" t="str">
        <v/>
      </c>
      <c r="G204" s="1" t="str">
        <v>Ricardo Garmendia</v>
      </c>
      <c r="H204" s="1" t="str">
        <v>Sin TTL</v>
      </c>
      <c r="I204" s="1" t="str">
        <v>Victor Valqui</v>
      </c>
      <c r="J204" s="1" t="str">
        <v>Franklyn Velasco</v>
      </c>
      <c r="K204" s="1" t="str">
        <v>Alex Avila</v>
      </c>
      <c r="L204" s="1" t="str">
        <v>Whatsapp, Landing Pasivos, Agente BCP</v>
      </c>
      <c r="M204" s="1" t="str">
        <v>2026-07-02</v>
      </c>
      <c r="N204" s="1" t="str">
        <v/>
      </c>
      <c r="O204" s="1" t="str">
        <v/>
      </c>
      <c r="P204" s="1" t="str">
        <v/>
      </c>
      <c r="Q204" s="1" t="str">
        <v>2026-12-01</v>
      </c>
      <c r="R204" s="1" t="str">
        <f>IF(Q204="","","Q"&amp;ROUNDUP(MONTH(Q204)/3,0)&amp;"-"&amp;YEAR(Q204))</f>
        <v>Q4-2026</v>
      </c>
      <c r="S204" s="1" t="str">
        <v>Diseño</v>
      </c>
      <c r="T204" s="1" t="str">
        <v/>
      </c>
      <c r="U204" s="1" t="str">
        <v/>
      </c>
      <c r="V204" s="1" t="str">
        <v/>
      </c>
      <c r="W204" s="1" t="str">
        <v>Alta</v>
      </c>
      <c r="X204" s="1" t="str">
        <v/>
      </c>
      <c r="Y204" s="1" t="str">
        <v/>
      </c>
      <c r="Z204" s="1" t="str">
        <v>2026-03-30</v>
      </c>
      <c r="AA204" s="1" t="str">
        <v/>
      </c>
      <c r="AB204" s="1" t="str">
        <v/>
      </c>
      <c r="AC204" s="1" t="str">
        <v>Para el Q4</v>
      </c>
      <c r="AD204" s="1" t="str">
        <v/>
      </c>
      <c r="AE204" s="1" t="str">
        <v/>
      </c>
      <c r="AF204" s="1" t="str">
        <v/>
      </c>
      <c r="AG204" s="1" t="str">
        <v/>
      </c>
      <c r="AH204" s="1" t="str">
        <v/>
      </c>
      <c r="AI204" s="1" t="str">
        <v/>
      </c>
      <c r="AJ204" s="1" t="str">
        <v/>
      </c>
      <c r="AK204" s="1" t="str">
        <v/>
      </c>
      <c r="AL204" s="1" t="str">
        <v/>
      </c>
    </row>
    <row r="205">
      <c r="A205" s="1" t="str">
        <v>HIST-0204</v>
      </c>
      <c r="B205" s="1" t="str">
        <v>D0033</v>
      </c>
      <c r="C205" s="1" t="str">
        <v>Catalogo de Servicios de Interconexión</v>
      </c>
      <c r="D205" s="1" t="str">
        <v/>
      </c>
      <c r="E205" s="1" t="str">
        <v>Creación</v>
      </c>
      <c r="F205" s="1" t="str">
        <v/>
      </c>
      <c r="G205" s="1" t="str">
        <v>Ricardo Garmendia</v>
      </c>
      <c r="H205" s="1" t="str">
        <v>Sin TTL</v>
      </c>
      <c r="I205" s="1" t="str">
        <v>Victor Valqui</v>
      </c>
      <c r="J205" s="1" t="str">
        <v>Franklyn Velasco</v>
      </c>
      <c r="K205" s="1" t="str">
        <v>Alex Avila</v>
      </c>
      <c r="L205" s="1" t="str">
        <v>Whatsapp, Landing Pasivos, Agente BCP</v>
      </c>
      <c r="M205" s="1" t="str">
        <v>2026-07-02</v>
      </c>
      <c r="N205" s="1" t="str">
        <v/>
      </c>
      <c r="O205" s="1" t="str">
        <v/>
      </c>
      <c r="P205" s="1" t="str">
        <v/>
      </c>
      <c r="Q205" s="1" t="str">
        <v>2026-12-01</v>
      </c>
      <c r="R205" s="1" t="str">
        <f>IF(Q205="","","Q"&amp;ROUNDUP(MONTH(Q205)/3,0)&amp;"-"&amp;YEAR(Q205))</f>
        <v>Q4-2026</v>
      </c>
      <c r="S205" s="1" t="str">
        <v>Diseño</v>
      </c>
      <c r="T205" s="1" t="str">
        <v/>
      </c>
      <c r="U205" s="1" t="str">
        <v/>
      </c>
      <c r="V205" s="1" t="str">
        <v/>
      </c>
      <c r="W205" s="1" t="str">
        <v>Alta</v>
      </c>
      <c r="X205" s="1" t="str">
        <v/>
      </c>
      <c r="Y205" s="1" t="str">
        <v/>
      </c>
      <c r="Z205" s="1" t="str">
        <v>2026-07-08</v>
      </c>
      <c r="AA205" s="1" t="str">
        <v/>
      </c>
      <c r="AB205" s="1" t="str">
        <v/>
      </c>
      <c r="AC205" s="1" t="str">
        <v>Para el Q4</v>
      </c>
      <c r="AD205" s="1" t="str">
        <v/>
      </c>
      <c r="AE205" s="1" t="str">
        <v/>
      </c>
      <c r="AF205" s="1" t="str">
        <v/>
      </c>
      <c r="AG205" s="1" t="str">
        <v/>
      </c>
      <c r="AH205" s="1" t="str">
        <v/>
      </c>
      <c r="AI205" s="1" t="str">
        <v/>
      </c>
      <c r="AJ205" s="1" t="str">
        <v/>
      </c>
      <c r="AK205" s="1" t="str">
        <v/>
      </c>
      <c r="AL205" s="1" t="str">
        <v/>
      </c>
    </row>
    <row r="206">
      <c r="A206" s="1" t="str">
        <v>HIST-0205</v>
      </c>
      <c r="B206" s="1" t="str">
        <v>D0102</v>
      </c>
      <c r="C206" s="1" t="str">
        <v>Catalogo de Servicios de Interconexión</v>
      </c>
      <c r="D206" s="1" t="str">
        <v/>
      </c>
      <c r="E206" s="1" t="str">
        <v>Creación</v>
      </c>
      <c r="F206" s="1" t="str">
        <v/>
      </c>
      <c r="G206" s="1" t="str">
        <v/>
      </c>
      <c r="H206" s="1" t="str">
        <v>Sin TTL</v>
      </c>
      <c r="I206" s="1" t="str">
        <v>Victor Valqui</v>
      </c>
      <c r="J206" s="1" t="str">
        <v>Franklyn Velasco</v>
      </c>
      <c r="K206" s="1" t="str">
        <v>Alex Avila</v>
      </c>
      <c r="L206" s="1" t="str">
        <v>Landing Pasivos</v>
      </c>
      <c r="M206" s="1" t="str">
        <v>2026-07-02</v>
      </c>
      <c r="N206" s="1" t="str">
        <v/>
      </c>
      <c r="O206" s="1" t="str">
        <v/>
      </c>
      <c r="P206" s="1" t="str">
        <v/>
      </c>
      <c r="Q206" s="1" t="str">
        <v>2026-09-30</v>
      </c>
      <c r="R206" s="1" t="str">
        <f>IF(Q206="","","Q"&amp;ROUNDUP(MONTH(Q206)/3,0)&amp;"-"&amp;YEAR(Q206))</f>
        <v>Q3-2026</v>
      </c>
      <c r="S206" s="1" t="str">
        <v>Diseño</v>
      </c>
      <c r="T206" s="1" t="str">
        <v/>
      </c>
      <c r="U206" s="1" t="str">
        <v/>
      </c>
      <c r="V206" s="1" t="str">
        <v/>
      </c>
      <c r="W206" s="1" t="str">
        <v>Alta</v>
      </c>
      <c r="X206" s="1" t="str">
        <v/>
      </c>
      <c r="Y206" s="1" t="str">
        <v/>
      </c>
      <c r="Z206" s="1" t="str">
        <v/>
      </c>
      <c r="AA206" s="1" t="str">
        <v/>
      </c>
      <c r="AB206" s="1" t="str">
        <v/>
      </c>
      <c r="AC206" s="1" t="str">
        <v>Para el Q3, API BIAN para el proceso de Onboarding</v>
      </c>
      <c r="AD206" s="1" t="str">
        <v/>
      </c>
      <c r="AE206" s="1" t="str">
        <v/>
      </c>
      <c r="AF206" s="1" t="str">
        <v/>
      </c>
      <c r="AG206" s="1" t="str">
        <v/>
      </c>
      <c r="AH206" s="1" t="str">
        <v/>
      </c>
      <c r="AI206" s="1" t="str">
        <v/>
      </c>
      <c r="AJ206" s="1" t="str">
        <v/>
      </c>
      <c r="AK206" s="1" t="str">
        <v/>
      </c>
      <c r="AL206" s="1" t="str">
        <v/>
      </c>
    </row>
    <row r="207">
      <c r="A207" s="1" t="str">
        <v>HIST-0206</v>
      </c>
      <c r="B207" s="1" t="str">
        <v>D0035</v>
      </c>
      <c r="C207" s="1" t="str">
        <v>Catalogo de Servicios de Interconexión</v>
      </c>
      <c r="D207" s="1" t="str">
        <v/>
      </c>
      <c r="E207" s="1" t="str">
        <v>Creación</v>
      </c>
      <c r="F207" s="1" t="str">
        <v/>
      </c>
      <c r="G207" s="1" t="str">
        <v/>
      </c>
      <c r="H207" s="1" t="str">
        <v>Sin TTL</v>
      </c>
      <c r="I207" s="1" t="str">
        <v>Victor Valqui</v>
      </c>
      <c r="J207" s="1" t="str">
        <v>Franklyn Velasco</v>
      </c>
      <c r="K207" s="1" t="str">
        <v>Alex Avila</v>
      </c>
      <c r="L207" s="1" t="str">
        <v>Landing Pasivos</v>
      </c>
      <c r="M207" s="1" t="str">
        <v>2026-07-02</v>
      </c>
      <c r="N207" s="1" t="str">
        <v/>
      </c>
      <c r="O207" s="1" t="str">
        <v/>
      </c>
      <c r="P207" s="1" t="str">
        <v/>
      </c>
      <c r="Q207" s="1" t="str">
        <v>2026-09-30</v>
      </c>
      <c r="R207" s="1" t="str">
        <f>IF(Q207="","","Q"&amp;ROUNDUP(MONTH(Q207)/3,0)&amp;"-"&amp;YEAR(Q207))</f>
        <v>Q3-2026</v>
      </c>
      <c r="S207" s="1" t="str">
        <v>Diseño</v>
      </c>
      <c r="T207" s="1" t="str">
        <v/>
      </c>
      <c r="U207" s="1" t="str">
        <v/>
      </c>
      <c r="V207" s="1" t="str">
        <v/>
      </c>
      <c r="W207" s="1" t="str">
        <v>Alta</v>
      </c>
      <c r="X207" s="1" t="str">
        <v/>
      </c>
      <c r="Y207" s="1" t="str">
        <v/>
      </c>
      <c r="Z207" s="1" t="str">
        <v>2026-07-08</v>
      </c>
      <c r="AA207" s="1" t="str">
        <v/>
      </c>
      <c r="AB207" s="1" t="str">
        <v/>
      </c>
      <c r="AC207" s="1" t="str">
        <v>Para el Q3, API BIAN para el proceso de Onboarding</v>
      </c>
      <c r="AD207" s="1" t="str">
        <v/>
      </c>
      <c r="AE207" s="1" t="str">
        <v/>
      </c>
      <c r="AF207" s="1" t="str">
        <v/>
      </c>
      <c r="AG207" s="1" t="str">
        <v/>
      </c>
      <c r="AH207" s="1" t="str">
        <v/>
      </c>
      <c r="AI207" s="1" t="str">
        <v/>
      </c>
      <c r="AJ207" s="1" t="str">
        <v/>
      </c>
      <c r="AK207" s="1" t="str">
        <v/>
      </c>
      <c r="AL207" s="1" t="str">
        <v/>
      </c>
    </row>
    <row r="208">
      <c r="A208" s="1" t="str">
        <v>HIST-0207</v>
      </c>
      <c r="B208" s="1" t="str">
        <v>D0025</v>
      </c>
      <c r="C208" s="1" t="str">
        <v>Catalogo de Servicios de Interconexión</v>
      </c>
      <c r="D208" s="1" t="str">
        <v/>
      </c>
      <c r="E208" s="1" t="str">
        <v>Creación</v>
      </c>
      <c r="F208" s="1" t="str">
        <v/>
      </c>
      <c r="G208" s="1" t="str">
        <v/>
      </c>
      <c r="H208" s="1" t="str">
        <v>Sin TTL</v>
      </c>
      <c r="I208" s="1" t="str">
        <v>Victor Valqui</v>
      </c>
      <c r="J208" s="1" t="str">
        <v>Franklyn Velasco</v>
      </c>
      <c r="K208" s="1" t="str">
        <v>Alex Avila</v>
      </c>
      <c r="L208" s="1" t="str">
        <v>Landing Pasivos</v>
      </c>
      <c r="M208" s="1" t="str">
        <v>2026-07-02</v>
      </c>
      <c r="N208" s="1" t="str">
        <v/>
      </c>
      <c r="O208" s="1" t="str">
        <v/>
      </c>
      <c r="P208" s="1" t="str">
        <v/>
      </c>
      <c r="Q208" s="1" t="str">
        <v>2026-09-30</v>
      </c>
      <c r="R208" s="1" t="str">
        <f>IF(Q208="","","Q"&amp;ROUNDUP(MONTH(Q208)/3,0)&amp;"-"&amp;YEAR(Q208))</f>
        <v>Q3-2026</v>
      </c>
      <c r="S208" s="1" t="str">
        <v>Diseño</v>
      </c>
      <c r="T208" s="1" t="str">
        <v/>
      </c>
      <c r="U208" s="1" t="str">
        <v/>
      </c>
      <c r="V208" s="1" t="str">
        <v/>
      </c>
      <c r="W208" s="1" t="str">
        <v>Alta</v>
      </c>
      <c r="X208" s="1" t="str">
        <v/>
      </c>
      <c r="Y208" s="1" t="str">
        <v/>
      </c>
      <c r="Z208" s="1" t="str">
        <v/>
      </c>
      <c r="AA208" s="1" t="str">
        <v/>
      </c>
      <c r="AB208" s="1" t="str">
        <v/>
      </c>
      <c r="AC208" s="1" t="str">
        <v>Para el Q3, API BIAN para el proceso de Onboarding</v>
      </c>
      <c r="AD208" s="1" t="str">
        <v/>
      </c>
      <c r="AE208" s="1" t="str">
        <v/>
      </c>
      <c r="AF208" s="1" t="str">
        <v/>
      </c>
      <c r="AG208" s="1" t="str">
        <v/>
      </c>
      <c r="AH208" s="1" t="str">
        <v/>
      </c>
      <c r="AI208" s="1" t="str">
        <v/>
      </c>
      <c r="AJ208" s="1" t="str">
        <v/>
      </c>
      <c r="AK208" s="1" t="str">
        <v/>
      </c>
      <c r="AL208" s="1" t="str">
        <v/>
      </c>
    </row>
    <row r="209">
      <c r="A209" s="1" t="str">
        <v>HIST-0208</v>
      </c>
      <c r="B209" s="1" t="str">
        <v>D0125</v>
      </c>
      <c r="C209" s="1" t="str">
        <v>Catalogo de Servicios de Interconexión</v>
      </c>
      <c r="D209" s="1" t="str">
        <v/>
      </c>
      <c r="E209" s="1" t="str">
        <v>Creación</v>
      </c>
      <c r="F209" s="1" t="str">
        <v/>
      </c>
      <c r="G209" s="1" t="str">
        <v/>
      </c>
      <c r="H209" s="1" t="str">
        <v>Sin TTL</v>
      </c>
      <c r="I209" s="1" t="str">
        <v>Victor Valqui</v>
      </c>
      <c r="J209" s="1" t="str">
        <v>Franklyn Velasco</v>
      </c>
      <c r="K209" s="1" t="str">
        <v>Alex Avila</v>
      </c>
      <c r="L209" s="1" t="str">
        <v>Landing Pasivos</v>
      </c>
      <c r="M209" s="1" t="str">
        <v>2026-07-02</v>
      </c>
      <c r="N209" s="1" t="str">
        <v/>
      </c>
      <c r="O209" s="1" t="str">
        <v/>
      </c>
      <c r="P209" s="1" t="str">
        <v/>
      </c>
      <c r="Q209" s="1" t="str">
        <v>2026-09-30</v>
      </c>
      <c r="R209" s="1" t="str">
        <f>IF(Q209="","","Q"&amp;ROUNDUP(MONTH(Q209)/3,0)&amp;"-"&amp;YEAR(Q209))</f>
        <v>Q3-2026</v>
      </c>
      <c r="S209" s="1" t="str">
        <v>Diseño</v>
      </c>
      <c r="T209" s="1" t="str">
        <v/>
      </c>
      <c r="U209" s="1" t="str">
        <v/>
      </c>
      <c r="V209" s="1" t="str">
        <v/>
      </c>
      <c r="W209" s="1" t="str">
        <v>Alta</v>
      </c>
      <c r="X209" s="1" t="str">
        <v/>
      </c>
      <c r="Y209" s="1" t="str">
        <v/>
      </c>
      <c r="Z209" s="1" t="str">
        <v>2026-03-30</v>
      </c>
      <c r="AA209" s="1" t="str">
        <v/>
      </c>
      <c r="AB209" s="1" t="str">
        <v/>
      </c>
      <c r="AC209" s="1" t="str">
        <v>Para el Q3, API BIAN para el proceso de Onboarding</v>
      </c>
      <c r="AD209" s="1" t="str">
        <v/>
      </c>
      <c r="AE209" s="1" t="str">
        <v/>
      </c>
      <c r="AF209" s="1" t="str">
        <v/>
      </c>
      <c r="AG209" s="1" t="str">
        <v/>
      </c>
      <c r="AH209" s="1" t="str">
        <v/>
      </c>
      <c r="AI209" s="1" t="str">
        <v/>
      </c>
      <c r="AJ209" s="1" t="str">
        <v/>
      </c>
      <c r="AK209" s="1" t="str">
        <v/>
      </c>
      <c r="AL209" s="1" t="str">
        <v/>
      </c>
    </row>
    <row r="210">
      <c r="A210" s="1" t="str">
        <v>HIST-0209</v>
      </c>
      <c r="B210" s="1" t="str">
        <v>D0023</v>
      </c>
      <c r="C210" s="1" t="str">
        <v>Catalogo de Servicios de Interconexión</v>
      </c>
      <c r="D210" s="1" t="str">
        <v/>
      </c>
      <c r="E210" s="1" t="str">
        <v>Creación</v>
      </c>
      <c r="F210" s="1" t="str">
        <v/>
      </c>
      <c r="G210" s="1" t="str">
        <v>Ricardo Garmendia</v>
      </c>
      <c r="H210" s="1" t="str">
        <v>Sin TTL</v>
      </c>
      <c r="I210" s="1" t="str">
        <v>Victor Valqui</v>
      </c>
      <c r="J210" s="1" t="str">
        <v>Franklyn Velasco</v>
      </c>
      <c r="K210" s="1" t="str">
        <v>Alex Avila</v>
      </c>
      <c r="L210" s="1" t="str">
        <v>Whatsapp, Landing Pasivos, Agente BCP</v>
      </c>
      <c r="M210" s="1" t="str">
        <v>2026-07-02</v>
      </c>
      <c r="N210" s="1" t="str">
        <v/>
      </c>
      <c r="O210" s="1" t="str">
        <v/>
      </c>
      <c r="P210" s="1" t="str">
        <v/>
      </c>
      <c r="Q210" s="1" t="str">
        <v>2026-12-01</v>
      </c>
      <c r="R210" s="1" t="str">
        <f>IF(Q210="","","Q"&amp;ROUNDUP(MONTH(Q210)/3,0)&amp;"-"&amp;YEAR(Q210))</f>
        <v>Q4-2026</v>
      </c>
      <c r="S210" s="1" t="str">
        <v>Diseño</v>
      </c>
      <c r="T210" s="1" t="str">
        <v/>
      </c>
      <c r="U210" s="1" t="str">
        <v/>
      </c>
      <c r="V210" s="1" t="str">
        <v/>
      </c>
      <c r="W210" s="1" t="str">
        <v>Alta</v>
      </c>
      <c r="X210" s="1" t="str">
        <v/>
      </c>
      <c r="Y210" s="1" t="str">
        <v/>
      </c>
      <c r="Z210" s="1" t="str">
        <v/>
      </c>
      <c r="AA210" s="1" t="str">
        <v/>
      </c>
      <c r="AB210" s="1" t="str">
        <v/>
      </c>
      <c r="AC210" s="1" t="str">
        <v>Para el Q4</v>
      </c>
      <c r="AD210" s="1" t="str">
        <v/>
      </c>
      <c r="AE210" s="1" t="str">
        <v/>
      </c>
      <c r="AF210" s="1" t="str">
        <v/>
      </c>
      <c r="AG210" s="1" t="str">
        <v/>
      </c>
      <c r="AH210" s="1" t="str">
        <v/>
      </c>
      <c r="AI210" s="1" t="str">
        <v/>
      </c>
      <c r="AJ210" s="1" t="str">
        <v/>
      </c>
      <c r="AK210" s="1" t="str">
        <v/>
      </c>
      <c r="AL210" s="1" t="str">
        <v/>
      </c>
    </row>
    <row r="211">
      <c r="A211" s="1" t="str">
        <v>HIST-0210</v>
      </c>
      <c r="B211" s="1" t="str">
        <v>D0126</v>
      </c>
      <c r="C211" s="1" t="str">
        <v>Catalogo de Servicios de Interconexión</v>
      </c>
      <c r="D211" s="1" t="str">
        <v/>
      </c>
      <c r="E211" s="1" t="str">
        <v>Creación</v>
      </c>
      <c r="F211" s="1" t="str">
        <v/>
      </c>
      <c r="G211" s="1" t="str">
        <v/>
      </c>
      <c r="H211" s="1" t="str">
        <v>Sin TTL</v>
      </c>
      <c r="I211" s="1" t="str">
        <v>Victor Valqui</v>
      </c>
      <c r="J211" s="1" t="str">
        <v>Franklyn Velasco</v>
      </c>
      <c r="K211" s="1" t="str">
        <v>Alex Avila</v>
      </c>
      <c r="L211" s="1" t="str">
        <v>Landing Pasivos</v>
      </c>
      <c r="M211" s="1" t="str">
        <v>2026-07-02</v>
      </c>
      <c r="N211" s="1" t="str">
        <v/>
      </c>
      <c r="O211" s="1" t="str">
        <v/>
      </c>
      <c r="P211" s="1" t="str">
        <v/>
      </c>
      <c r="Q211" s="1" t="str">
        <v>2026-09-30</v>
      </c>
      <c r="R211" s="1" t="str">
        <f>IF(Q211="","","Q"&amp;ROUNDUP(MONTH(Q211)/3,0)&amp;"-"&amp;YEAR(Q211))</f>
        <v>Q3-2026</v>
      </c>
      <c r="S211" s="1" t="str">
        <v>Diseño</v>
      </c>
      <c r="T211" s="1" t="str">
        <v/>
      </c>
      <c r="U211" s="1" t="str">
        <v/>
      </c>
      <c r="V211" s="1" t="str">
        <v/>
      </c>
      <c r="W211" s="1" t="str">
        <v>Alta</v>
      </c>
      <c r="X211" s="1" t="str">
        <v/>
      </c>
      <c r="Y211" s="1" t="str">
        <v/>
      </c>
      <c r="Z211" s="1" t="str">
        <v>2026-04-15</v>
      </c>
      <c r="AA211" s="1" t="str">
        <v/>
      </c>
      <c r="AB211" s="1" t="str">
        <v/>
      </c>
      <c r="AC211" s="1" t="str">
        <v>Para el Q3, API BIAN para el proceso de Onboarding</v>
      </c>
      <c r="AD211" s="1" t="str">
        <v/>
      </c>
      <c r="AE211" s="1" t="str">
        <v/>
      </c>
      <c r="AF211" s="1" t="str">
        <v/>
      </c>
      <c r="AG211" s="1" t="str">
        <v/>
      </c>
      <c r="AH211" s="1" t="str">
        <v/>
      </c>
      <c r="AI211" s="1" t="str">
        <v/>
      </c>
      <c r="AJ211" s="1" t="str">
        <v/>
      </c>
      <c r="AK211" s="1" t="str">
        <v/>
      </c>
      <c r="AL211" s="1" t="str">
        <v/>
      </c>
    </row>
    <row r="212">
      <c r="A212" s="1" t="str">
        <v>HIST-0211</v>
      </c>
      <c r="B212" s="1" t="str">
        <v>D0127</v>
      </c>
      <c r="C212" s="1" t="str">
        <v>Catalogo de Servicios de Interconexión</v>
      </c>
      <c r="D212" s="1" t="str">
        <v/>
      </c>
      <c r="E212" s="1" t="str">
        <v>Creación</v>
      </c>
      <c r="F212" s="1" t="str">
        <v/>
      </c>
      <c r="G212" s="1" t="str">
        <v>Ricardo Garmendia</v>
      </c>
      <c r="H212" s="1" t="str">
        <v>Sin TTL</v>
      </c>
      <c r="I212" s="1" t="str">
        <v>Victor Valqui</v>
      </c>
      <c r="J212" s="1" t="str">
        <v>Franklyn Velasco</v>
      </c>
      <c r="K212" s="1" t="str">
        <v>Alex Avila</v>
      </c>
      <c r="L212" s="1" t="str">
        <v>Whatsapp, Landing Pasivos, Agente BCP</v>
      </c>
      <c r="M212" s="1" t="str">
        <v>2026-07-02</v>
      </c>
      <c r="N212" s="1" t="str">
        <v/>
      </c>
      <c r="O212" s="1" t="str">
        <v/>
      </c>
      <c r="P212" s="1" t="str">
        <v/>
      </c>
      <c r="Q212" s="1" t="str">
        <v>2026-12-01</v>
      </c>
      <c r="R212" s="1" t="str">
        <f>IF(Q212="","","Q"&amp;ROUNDUP(MONTH(Q212)/3,0)&amp;"-"&amp;YEAR(Q212))</f>
        <v>Q4-2026</v>
      </c>
      <c r="S212" s="1" t="str">
        <v>Diseño</v>
      </c>
      <c r="T212" s="1" t="str">
        <v/>
      </c>
      <c r="U212" s="1" t="str">
        <v/>
      </c>
      <c r="V212" s="1" t="str">
        <v/>
      </c>
      <c r="W212" s="1" t="str">
        <v>Alta</v>
      </c>
      <c r="X212" s="1" t="str">
        <v/>
      </c>
      <c r="Y212" s="1" t="str">
        <v/>
      </c>
      <c r="Z212" s="1" t="str">
        <v>2026-04-15</v>
      </c>
      <c r="AA212" s="1" t="str">
        <v/>
      </c>
      <c r="AB212" s="1" t="str">
        <v/>
      </c>
      <c r="AC212" s="1" t="str">
        <v>Para el Q4</v>
      </c>
      <c r="AD212" s="1" t="str">
        <v/>
      </c>
      <c r="AE212" s="1" t="str">
        <v/>
      </c>
      <c r="AF212" s="1" t="str">
        <v/>
      </c>
      <c r="AG212" s="1" t="str">
        <v/>
      </c>
      <c r="AH212" s="1" t="str">
        <v/>
      </c>
      <c r="AI212" s="1" t="str">
        <v/>
      </c>
      <c r="AJ212" s="1" t="str">
        <v/>
      </c>
      <c r="AK212" s="1" t="str">
        <v/>
      </c>
      <c r="AL212" s="1" t="str">
        <v/>
      </c>
    </row>
    <row r="213">
      <c r="A213" s="1" t="str">
        <v>HIST-0212</v>
      </c>
      <c r="B213" s="1" t="str">
        <v>D0108</v>
      </c>
      <c r="C213" s="1" t="str">
        <v>Catalogo de Servicios de Interconexión</v>
      </c>
      <c r="D213" s="1" t="str">
        <v/>
      </c>
      <c r="E213" s="1" t="str">
        <v>Creación</v>
      </c>
      <c r="F213" s="1" t="str">
        <v/>
      </c>
      <c r="G213" s="1" t="str">
        <v>Ricardo Garmendia</v>
      </c>
      <c r="H213" s="1" t="str">
        <v>Sin TTL</v>
      </c>
      <c r="I213" s="1" t="str">
        <v>Victor Valqui</v>
      </c>
      <c r="J213" s="1" t="str">
        <v>Franklyn Velasco</v>
      </c>
      <c r="K213" s="1" t="str">
        <v>Alex Avila</v>
      </c>
      <c r="L213" s="1" t="str">
        <v>Whatsapp, Landing Pasivos, Agente BCP</v>
      </c>
      <c r="M213" s="1" t="str">
        <v>2026-07-02</v>
      </c>
      <c r="N213" s="1" t="str">
        <v/>
      </c>
      <c r="O213" s="1" t="str">
        <v/>
      </c>
      <c r="P213" s="1" t="str">
        <v/>
      </c>
      <c r="Q213" s="1" t="str">
        <v>2026-12-01</v>
      </c>
      <c r="R213" s="1" t="str">
        <f>IF(Q213="","","Q"&amp;ROUNDUP(MONTH(Q213)/3,0)&amp;"-"&amp;YEAR(Q213))</f>
        <v>Q4-2026</v>
      </c>
      <c r="S213" s="1" t="str">
        <v>Diseño</v>
      </c>
      <c r="T213" s="1" t="str">
        <v/>
      </c>
      <c r="U213" s="1" t="str">
        <v/>
      </c>
      <c r="V213" s="1" t="str">
        <v/>
      </c>
      <c r="W213" s="1" t="str">
        <v>Alta</v>
      </c>
      <c r="X213" s="1" t="str">
        <v/>
      </c>
      <c r="Y213" s="1" t="str">
        <v/>
      </c>
      <c r="Z213" s="1" t="str">
        <v>2026-06-30</v>
      </c>
      <c r="AA213" s="1" t="str">
        <v/>
      </c>
      <c r="AB213" s="1" t="str">
        <v/>
      </c>
      <c r="AC213" s="1" t="str">
        <v>Para el Q4</v>
      </c>
      <c r="AD213" s="1" t="str">
        <v/>
      </c>
      <c r="AE213" s="1" t="str">
        <v/>
      </c>
      <c r="AF213" s="1" t="str">
        <v/>
      </c>
      <c r="AG213" s="1" t="str">
        <v>Finalizado</v>
      </c>
      <c r="AH213" s="1" t="str">
        <v>Finalizado</v>
      </c>
      <c r="AI213" s="1" t="str">
        <v/>
      </c>
      <c r="AJ213" s="1" t="str">
        <v/>
      </c>
      <c r="AK213" s="1" t="str">
        <v/>
      </c>
      <c r="AL213" s="1" t="str">
        <v/>
      </c>
    </row>
    <row r="214">
      <c r="A214" s="1" t="str">
        <v>HIST-0213</v>
      </c>
      <c r="B214" s="1" t="str">
        <v>D0016</v>
      </c>
      <c r="C214" s="1" t="str">
        <v>Catalogo de Servicios de Interconexión</v>
      </c>
      <c r="D214" s="1" t="str">
        <v/>
      </c>
      <c r="E214" s="1" t="str">
        <v>Creación</v>
      </c>
      <c r="F214" s="1" t="str">
        <v/>
      </c>
      <c r="G214" s="1" t="str">
        <v>Ricardo Garmendia</v>
      </c>
      <c r="H214" s="1" t="str">
        <v>Sin TTL</v>
      </c>
      <c r="I214" s="1" t="str">
        <v>Victor Valqui</v>
      </c>
      <c r="J214" s="1" t="str">
        <v>Franklyn Velasco</v>
      </c>
      <c r="K214" s="1" t="str">
        <v>Alex Avila</v>
      </c>
      <c r="L214" s="1" t="str">
        <v>Whatsapp, Landing Pasivos, Agente BCP</v>
      </c>
      <c r="M214" s="1" t="str">
        <v>2026-07-02</v>
      </c>
      <c r="N214" s="1" t="str">
        <v/>
      </c>
      <c r="O214" s="1" t="str">
        <v/>
      </c>
      <c r="P214" s="1" t="str">
        <v/>
      </c>
      <c r="Q214" s="1" t="str">
        <v>2026-12-01</v>
      </c>
      <c r="R214" s="1" t="str">
        <f>IF(Q214="","","Q"&amp;ROUNDUP(MONTH(Q214)/3,0)&amp;"-"&amp;YEAR(Q214))</f>
        <v>Q4-2026</v>
      </c>
      <c r="S214" s="1" t="str">
        <v>Diseño</v>
      </c>
      <c r="T214" s="1" t="str">
        <v/>
      </c>
      <c r="U214" s="1" t="str">
        <v/>
      </c>
      <c r="V214" s="1" t="str">
        <v/>
      </c>
      <c r="W214" s="1" t="str">
        <v>Alta</v>
      </c>
      <c r="X214" s="1" t="str">
        <v/>
      </c>
      <c r="Y214" s="1" t="str">
        <v/>
      </c>
      <c r="Z214" s="1" t="str">
        <v>2026-07-07</v>
      </c>
      <c r="AA214" s="1" t="str">
        <v/>
      </c>
      <c r="AB214" s="1" t="str">
        <v/>
      </c>
      <c r="AC214" s="1" t="str">
        <v>Para el Q4</v>
      </c>
      <c r="AD214" s="1" t="str">
        <v/>
      </c>
      <c r="AE214" s="1" t="str">
        <v/>
      </c>
      <c r="AF214" s="1" t="str">
        <v/>
      </c>
      <c r="AG214" s="1" t="str">
        <v>Finalizado</v>
      </c>
      <c r="AH214" s="1" t="str">
        <v>En proceso</v>
      </c>
      <c r="AI214" s="1" t="str">
        <v/>
      </c>
      <c r="AJ214" s="1" t="str">
        <v/>
      </c>
      <c r="AK214" s="1" t="str">
        <v/>
      </c>
      <c r="AL214" s="1" t="str">
        <v/>
      </c>
    </row>
    <row r="215">
      <c r="A215" s="1" t="str">
        <v>HIST-0214</v>
      </c>
      <c r="B215" s="1" t="str">
        <v>D0026</v>
      </c>
      <c r="C215" s="1" t="str">
        <v>Catalogo de Servicios de Interconexión</v>
      </c>
      <c r="D215" s="1" t="str">
        <v/>
      </c>
      <c r="E215" s="1" t="str">
        <v>Creación</v>
      </c>
      <c r="F215" s="1" t="str">
        <v/>
      </c>
      <c r="G215" s="1" t="str">
        <v/>
      </c>
      <c r="H215" s="1" t="str">
        <v>Sin TTL</v>
      </c>
      <c r="I215" s="1" t="str">
        <v>Victor Valqui</v>
      </c>
      <c r="J215" s="1" t="str">
        <v>Franklyn Velasco</v>
      </c>
      <c r="K215" s="1" t="str">
        <v>Alex Avila</v>
      </c>
      <c r="L215" s="1" t="str">
        <v>Landing Pasivos</v>
      </c>
      <c r="M215" s="1" t="str">
        <v>2026-07-02</v>
      </c>
      <c r="N215" s="1" t="str">
        <v/>
      </c>
      <c r="O215" s="1" t="str">
        <v/>
      </c>
      <c r="P215" s="1" t="str">
        <v/>
      </c>
      <c r="Q215" s="1" t="str">
        <v>2026-09-30</v>
      </c>
      <c r="R215" s="1" t="str">
        <f>IF(Q215="","","Q"&amp;ROUNDUP(MONTH(Q215)/3,0)&amp;"-"&amp;YEAR(Q215))</f>
        <v>Q3-2026</v>
      </c>
      <c r="S215" s="1" t="str">
        <v>Diseño</v>
      </c>
      <c r="T215" s="1" t="str">
        <v/>
      </c>
      <c r="U215" s="1" t="str">
        <v/>
      </c>
      <c r="V215" s="1" t="str">
        <v/>
      </c>
      <c r="W215" s="1" t="str">
        <v>Alta</v>
      </c>
      <c r="X215" s="1" t="str">
        <v/>
      </c>
      <c r="Y215" s="1" t="str">
        <v/>
      </c>
      <c r="Z215" s="1" t="str">
        <v/>
      </c>
      <c r="AA215" s="1" t="str">
        <v/>
      </c>
      <c r="AB215" s="1" t="str">
        <v/>
      </c>
      <c r="AC215" s="1" t="str">
        <v>Para el Q3, API BIAN para el proceso de Onboarding</v>
      </c>
      <c r="AD215" s="1" t="str">
        <v/>
      </c>
      <c r="AE215" s="1" t="str">
        <v/>
      </c>
      <c r="AF215" s="1" t="str">
        <v/>
      </c>
      <c r="AG215" s="1" t="str">
        <v/>
      </c>
      <c r="AH215" s="1" t="str">
        <v/>
      </c>
      <c r="AI215" s="1" t="str">
        <v/>
      </c>
      <c r="AJ215" s="1" t="str">
        <v/>
      </c>
      <c r="AK215" s="1" t="str">
        <v/>
      </c>
      <c r="AL215" s="1" t="str">
        <v/>
      </c>
    </row>
    <row r="216">
      <c r="A216" s="1" t="str">
        <v>HIST-0215</v>
      </c>
      <c r="B216" s="1" t="str">
        <v>D0128</v>
      </c>
      <c r="C216" s="1" t="str">
        <v>Catalogo de Servicios de Interconexión</v>
      </c>
      <c r="D216" s="1" t="str">
        <v/>
      </c>
      <c r="E216" s="1" t="str">
        <v>Creación</v>
      </c>
      <c r="F216" s="1" t="str">
        <v/>
      </c>
      <c r="G216" s="1" t="str">
        <v>Ricardo Garmendia</v>
      </c>
      <c r="H216" s="1" t="str">
        <v>Sin TTL</v>
      </c>
      <c r="I216" s="1" t="str">
        <v>Victor Valqui</v>
      </c>
      <c r="J216" s="1" t="str">
        <v>Franklyn Velasco</v>
      </c>
      <c r="K216" s="1" t="str">
        <v>Alex Avila</v>
      </c>
      <c r="L216" s="1" t="str">
        <v>Whatsapp, Landing Pasivos, Agente BCP</v>
      </c>
      <c r="M216" s="1" t="str">
        <v>2026-07-02</v>
      </c>
      <c r="N216" s="1" t="str">
        <v/>
      </c>
      <c r="O216" s="1" t="str">
        <v/>
      </c>
      <c r="P216" s="1" t="str">
        <v/>
      </c>
      <c r="Q216" s="1" t="str">
        <v>2026-12-01</v>
      </c>
      <c r="R216" s="1" t="str">
        <f>IF(Q216="","","Q"&amp;ROUNDUP(MONTH(Q216)/3,0)&amp;"-"&amp;YEAR(Q216))</f>
        <v>Q4-2026</v>
      </c>
      <c r="S216" s="1" t="str">
        <v>Diseño</v>
      </c>
      <c r="T216" s="1" t="str">
        <v/>
      </c>
      <c r="U216" s="1" t="str">
        <v/>
      </c>
      <c r="V216" s="1" t="str">
        <v/>
      </c>
      <c r="W216" s="1" t="str">
        <v>Alta</v>
      </c>
      <c r="X216" s="1" t="str">
        <v/>
      </c>
      <c r="Y216" s="1" t="str">
        <v/>
      </c>
      <c r="Z216" s="1" t="str">
        <v>2026-04-15</v>
      </c>
      <c r="AA216" s="1" t="str">
        <v/>
      </c>
      <c r="AB216" s="1" t="str">
        <v/>
      </c>
      <c r="AC216" s="1" t="str">
        <v>Para el Q4</v>
      </c>
      <c r="AD216" s="1" t="str">
        <v/>
      </c>
      <c r="AE216" s="1" t="str">
        <v/>
      </c>
      <c r="AF216" s="1" t="str">
        <v/>
      </c>
      <c r="AG216" s="1" t="str">
        <v/>
      </c>
      <c r="AH216" s="1" t="str">
        <v/>
      </c>
      <c r="AI216" s="1" t="str">
        <v/>
      </c>
      <c r="AJ216" s="1" t="str">
        <v/>
      </c>
      <c r="AK216" s="1" t="str">
        <v/>
      </c>
      <c r="AL216" s="1" t="str">
        <v/>
      </c>
    </row>
    <row r="217">
      <c r="A217" s="1" t="str">
        <v>HIST-0216</v>
      </c>
      <c r="B217" s="1" t="str">
        <v>D0030</v>
      </c>
      <c r="C217" s="1" t="str">
        <v>Catalogo de Servicios de Interconexión</v>
      </c>
      <c r="D217" s="1" t="str">
        <v/>
      </c>
      <c r="E217" s="1" t="str">
        <v>Creación</v>
      </c>
      <c r="F217" s="1" t="str">
        <v/>
      </c>
      <c r="G217" s="1" t="str">
        <v>Ricardo Garmendia</v>
      </c>
      <c r="H217" s="1" t="str">
        <v>Sin TTL</v>
      </c>
      <c r="I217" s="1" t="str">
        <v>Victor Valqui</v>
      </c>
      <c r="J217" s="1" t="str">
        <v>Franklyn Velasco</v>
      </c>
      <c r="K217" s="1" t="str">
        <v>Alex Avila</v>
      </c>
      <c r="L217" s="1" t="str">
        <v>Whatsapp, Landing Pasivos, Agente BCP</v>
      </c>
      <c r="M217" s="1" t="str">
        <v>2026-07-02</v>
      </c>
      <c r="N217" s="1" t="str">
        <v/>
      </c>
      <c r="O217" s="1" t="str">
        <v/>
      </c>
      <c r="P217" s="1" t="str">
        <v/>
      </c>
      <c r="Q217" s="1" t="str">
        <v>2026-12-01</v>
      </c>
      <c r="R217" s="1" t="str">
        <f>IF(Q217="","","Q"&amp;ROUNDUP(MONTH(Q217)/3,0)&amp;"-"&amp;YEAR(Q217))</f>
        <v>Q4-2026</v>
      </c>
      <c r="S217" s="1" t="str">
        <v>Diseño</v>
      </c>
      <c r="T217" s="1" t="str">
        <v/>
      </c>
      <c r="U217" s="1" t="str">
        <v/>
      </c>
      <c r="V217" s="1" t="str">
        <v/>
      </c>
      <c r="W217" s="1" t="str">
        <v>Alta</v>
      </c>
      <c r="X217" s="1" t="str">
        <v/>
      </c>
      <c r="Y217" s="1" t="str">
        <v/>
      </c>
      <c r="Z217" s="1" t="str">
        <v/>
      </c>
      <c r="AA217" s="1" t="str">
        <v/>
      </c>
      <c r="AB217" s="1" t="str">
        <v/>
      </c>
      <c r="AC217" s="1" t="str">
        <v>Para el Q4</v>
      </c>
      <c r="AD217" s="1" t="str">
        <v/>
      </c>
      <c r="AE217" s="1" t="str">
        <v/>
      </c>
      <c r="AF217" s="1" t="str">
        <v/>
      </c>
      <c r="AG217" s="1" t="str">
        <v/>
      </c>
      <c r="AH217" s="1" t="str">
        <v/>
      </c>
      <c r="AI217" s="1" t="str">
        <v/>
      </c>
      <c r="AJ217" s="1" t="str">
        <v/>
      </c>
      <c r="AK217" s="1" t="str">
        <v/>
      </c>
      <c r="AL217" s="1" t="str">
        <v/>
      </c>
    </row>
    <row r="218">
      <c r="A218" s="1" t="str">
        <v>HIST-0217</v>
      </c>
      <c r="B218" s="1" t="str">
        <v>D0011</v>
      </c>
      <c r="C218" s="1" t="str">
        <v>Catalogo de Servicios de Interconexión</v>
      </c>
      <c r="D218" s="1" t="str">
        <v/>
      </c>
      <c r="E218" s="1" t="str">
        <v>Creación</v>
      </c>
      <c r="F218" s="1" t="str">
        <v/>
      </c>
      <c r="G218" s="1" t="str">
        <v/>
      </c>
      <c r="H218" s="1" t="str">
        <v>Sin TTL</v>
      </c>
      <c r="I218" s="1" t="str">
        <v>Victor Valqui</v>
      </c>
      <c r="J218" s="1" t="str">
        <v>Franklyn Velasco</v>
      </c>
      <c r="K218" s="1" t="str">
        <v>Alex Avila</v>
      </c>
      <c r="L218" s="1" t="str">
        <v>Landing Pasivos</v>
      </c>
      <c r="M218" s="1" t="str">
        <v>2026-07-02</v>
      </c>
      <c r="N218" s="1" t="str">
        <v/>
      </c>
      <c r="O218" s="1" t="str">
        <v/>
      </c>
      <c r="P218" s="1" t="str">
        <v/>
      </c>
      <c r="Q218" s="1" t="str">
        <v>2026-09-30</v>
      </c>
      <c r="R218" s="1" t="str">
        <f>IF(Q218="","","Q"&amp;ROUNDUP(MONTH(Q218)/3,0)&amp;"-"&amp;YEAR(Q218))</f>
        <v>Q3-2026</v>
      </c>
      <c r="S218" s="1" t="str">
        <v>Diseño</v>
      </c>
      <c r="T218" s="1" t="str">
        <v/>
      </c>
      <c r="U218" s="1" t="str">
        <v/>
      </c>
      <c r="V218" s="1" t="str">
        <v/>
      </c>
      <c r="W218" s="1" t="str">
        <v>Alta</v>
      </c>
      <c r="X218" s="1" t="str">
        <v/>
      </c>
      <c r="Y218" s="1" t="str">
        <v/>
      </c>
      <c r="Z218" s="1" t="str">
        <v>2026-07-07</v>
      </c>
      <c r="AA218" s="1" t="str">
        <v/>
      </c>
      <c r="AB218" s="1" t="str">
        <v/>
      </c>
      <c r="AC218" s="1" t="str">
        <v>Para el Q3, API BIAN para el proceso de Onboarding</v>
      </c>
      <c r="AD218" s="1" t="str">
        <v/>
      </c>
      <c r="AE218" s="1" t="str">
        <v/>
      </c>
      <c r="AF218" s="1" t="str">
        <v/>
      </c>
      <c r="AG218" s="1" t="str">
        <v>Finalizado</v>
      </c>
      <c r="AH218" s="1" t="str">
        <v>En proceso</v>
      </c>
      <c r="AI218" s="1" t="str">
        <v/>
      </c>
      <c r="AJ218" s="1" t="str">
        <v/>
      </c>
      <c r="AK218" s="1" t="str">
        <v/>
      </c>
      <c r="AL218" s="1" t="str">
        <v/>
      </c>
    </row>
    <row r="219">
      <c r="A219" s="1" t="str">
        <v>HIST-0218</v>
      </c>
      <c r="B219" s="1" t="str">
        <v>D0111</v>
      </c>
      <c r="C219" s="1" t="str">
        <v>Catalogo de Servicios de Interconexión</v>
      </c>
      <c r="D219" s="1" t="str">
        <v/>
      </c>
      <c r="E219" s="1" t="str">
        <v>Creación</v>
      </c>
      <c r="F219" s="1" t="str">
        <v/>
      </c>
      <c r="G219" s="1" t="str">
        <v>Ricardo Garmendia</v>
      </c>
      <c r="H219" s="1" t="str">
        <v>Sin TTL</v>
      </c>
      <c r="I219" s="1" t="str">
        <v>Victor Valqui</v>
      </c>
      <c r="J219" s="1" t="str">
        <v>Franklyn Velasco</v>
      </c>
      <c r="K219" s="1" t="str">
        <v>Alex Avila</v>
      </c>
      <c r="L219" s="1" t="str">
        <v>Whatsapp, Landing Pasivos, Agente BCP</v>
      </c>
      <c r="M219" s="1" t="str">
        <v>2026-07-02</v>
      </c>
      <c r="N219" s="1" t="str">
        <v/>
      </c>
      <c r="O219" s="1" t="str">
        <v/>
      </c>
      <c r="P219" s="1" t="str">
        <v/>
      </c>
      <c r="Q219" s="1" t="str">
        <v>2026-12-01</v>
      </c>
      <c r="R219" s="1" t="str">
        <f>IF(Q219="","","Q"&amp;ROUNDUP(MONTH(Q219)/3,0)&amp;"-"&amp;YEAR(Q219))</f>
        <v>Q4-2026</v>
      </c>
      <c r="S219" s="1" t="str">
        <v>Diseño</v>
      </c>
      <c r="T219" s="1" t="str">
        <v/>
      </c>
      <c r="U219" s="1" t="str">
        <v/>
      </c>
      <c r="V219" s="1" t="str">
        <v/>
      </c>
      <c r="W219" s="1" t="str">
        <v>Alta</v>
      </c>
      <c r="X219" s="1" t="str">
        <v/>
      </c>
      <c r="Y219" s="1" t="str">
        <v/>
      </c>
      <c r="Z219" s="1" t="str">
        <v>2026-06-30</v>
      </c>
      <c r="AA219" s="1" t="str">
        <v/>
      </c>
      <c r="AB219" s="1" t="str">
        <v/>
      </c>
      <c r="AC219" s="1" t="str">
        <v>Para el Q4</v>
      </c>
      <c r="AD219" s="1" t="str">
        <v/>
      </c>
      <c r="AE219" s="1" t="str">
        <v/>
      </c>
      <c r="AF219" s="1" t="str">
        <v/>
      </c>
      <c r="AG219" s="1" t="str">
        <v>Finalizado</v>
      </c>
      <c r="AH219" s="1" t="str">
        <v>Finalizado</v>
      </c>
      <c r="AI219" s="1" t="str">
        <v/>
      </c>
      <c r="AJ219" s="1" t="str">
        <v/>
      </c>
      <c r="AK219" s="1" t="str">
        <v/>
      </c>
      <c r="AL219" s="1" t="str">
        <v/>
      </c>
    </row>
    <row r="220">
      <c r="A220" s="1" t="str">
        <v>HIST-0219</v>
      </c>
      <c r="B220" s="1" t="str">
        <v>D0129</v>
      </c>
      <c r="C220" s="1" t="str">
        <v>Libro de Reclamaciones</v>
      </c>
      <c r="D220" s="1" t="str">
        <v/>
      </c>
      <c r="E220" s="1" t="str">
        <v>Creación</v>
      </c>
      <c r="F220" s="1" t="str">
        <v>OP-0099</v>
      </c>
      <c r="G220" s="1" t="str">
        <v>Miguel Loayza</v>
      </c>
      <c r="H220" s="1" t="str">
        <v/>
      </c>
      <c r="I220" s="1" t="str">
        <v/>
      </c>
      <c r="J220" s="1" t="str">
        <v>Danny Mercado</v>
      </c>
      <c r="K220" s="1" t="str">
        <v>Walter Gonzales</v>
      </c>
      <c r="L220" s="1" t="str">
        <v>portalweb</v>
      </c>
      <c r="M220" s="1" t="str">
        <v>2026-07-21</v>
      </c>
      <c r="N220" s="1" t="str">
        <v/>
      </c>
      <c r="O220" s="1" t="str">
        <v/>
      </c>
      <c r="P220" s="1" t="str">
        <v/>
      </c>
      <c r="Q220" s="1" t="str">
        <v>2026-07-17</v>
      </c>
      <c r="R220" s="1" t="str">
        <f>IF(Q220="","","Q"&amp;ROUNDUP(MONTH(Q220)/3,0)&amp;"-"&amp;YEAR(Q220))</f>
        <v>Q3-2026</v>
      </c>
      <c r="S220" s="1" t="str">
        <v>Producción</v>
      </c>
      <c r="T220" s="1" t="str">
        <v/>
      </c>
      <c r="U220" s="1" t="str">
        <v>v1.0.0</v>
      </c>
      <c r="V220" s="1" t="str">
        <v>No</v>
      </c>
      <c r="W220" s="1" t="str">
        <v>Media</v>
      </c>
      <c r="X220" s="1" t="str">
        <v/>
      </c>
      <c r="Y220" s="1" t="str">
        <v>Walter Gonzales</v>
      </c>
      <c r="Z220" s="1" t="str">
        <v>2026-07-21</v>
      </c>
      <c r="AA220" s="1" t="str">
        <v>Publicación inicial</v>
      </c>
      <c r="AB220" s="1" t="str">
        <v/>
      </c>
      <c r="AC220" s="1" t="str">
        <v/>
      </c>
      <c r="AD220" s="1" t="str">
        <v/>
      </c>
      <c r="AE220" s="1" t="str">
        <v/>
      </c>
      <c r="AF220" s="1" t="str">
        <v/>
      </c>
      <c r="AG220" s="1" t="str">
        <v/>
      </c>
      <c r="AH220" s="1" t="str">
        <v/>
      </c>
      <c r="AI220" s="1" t="str">
        <v/>
      </c>
      <c r="AJ220" s="1" t="str">
        <v/>
      </c>
      <c r="AK220" s="1" t="str">
        <v/>
      </c>
      <c r="AL220" s="1" t="str">
        <v/>
      </c>
    </row>
    <row r="221">
      <c r="A221" s="1" t="str">
        <v>HIST-0220</v>
      </c>
      <c r="B221" s="1" t="str">
        <v>D0130</v>
      </c>
      <c r="C221" s="1" t="str">
        <v>Libro de Reclamaciones</v>
      </c>
      <c r="D221" s="1" t="str">
        <v/>
      </c>
      <c r="E221" s="1" t="str">
        <v>Creación</v>
      </c>
      <c r="F221" s="1" t="str">
        <v>OP-0100</v>
      </c>
      <c r="G221" s="1" t="str">
        <v>Miguel Loayza</v>
      </c>
      <c r="H221" s="1" t="str">
        <v/>
      </c>
      <c r="I221" s="1" t="str">
        <v/>
      </c>
      <c r="J221" s="1" t="str">
        <v>Danny Mercado</v>
      </c>
      <c r="K221" s="1" t="str">
        <v>Walter Gonzales</v>
      </c>
      <c r="L221" s="1" t="str">
        <v>portalweb</v>
      </c>
      <c r="M221" s="1" t="str">
        <v>2026-07-21</v>
      </c>
      <c r="N221" s="1" t="str">
        <v/>
      </c>
      <c r="O221" s="1" t="str">
        <v/>
      </c>
      <c r="P221" s="1" t="str">
        <v/>
      </c>
      <c r="Q221" s="1" t="str">
        <v>2026-07-17</v>
      </c>
      <c r="R221" s="1" t="str">
        <f>IF(Q221="","","Q"&amp;ROUNDUP(MONTH(Q221)/3,0)&amp;"-"&amp;YEAR(Q221))</f>
        <v>Q3-2026</v>
      </c>
      <c r="S221" s="1" t="str">
        <v>Producción</v>
      </c>
      <c r="T221" s="1" t="str">
        <v/>
      </c>
      <c r="U221" s="1" t="str">
        <v>v1.0.0</v>
      </c>
      <c r="V221" s="1" t="str">
        <v>No</v>
      </c>
      <c r="W221" s="1" t="str">
        <v>Baja</v>
      </c>
      <c r="X221" s="1" t="str">
        <v/>
      </c>
      <c r="Y221" s="1" t="str">
        <v>Walter Gonzales</v>
      </c>
      <c r="Z221" s="1" t="str">
        <v>2026-07-21</v>
      </c>
      <c r="AA221" s="1" t="str">
        <v>Publicación inicial</v>
      </c>
      <c r="AB221" s="1" t="str">
        <v/>
      </c>
      <c r="AC221" s="1" t="str">
        <v/>
      </c>
      <c r="AD221" s="1" t="str">
        <v/>
      </c>
      <c r="AE221" s="1" t="str">
        <v/>
      </c>
      <c r="AF221" s="1" t="str">
        <v/>
      </c>
      <c r="AG221" s="1" t="str">
        <v/>
      </c>
      <c r="AH221" s="1" t="str">
        <v/>
      </c>
      <c r="AI221" s="1" t="str">
        <v/>
      </c>
      <c r="AJ221" s="1" t="str">
        <v/>
      </c>
      <c r="AK221" s="1" t="str">
        <v/>
      </c>
      <c r="AL221" s="1" t="str">
        <v/>
      </c>
    </row>
    <row r="222">
      <c r="A222" s="1" t="str">
        <v>HIST-0221</v>
      </c>
      <c r="B222" s="1" t="str">
        <v>D0131</v>
      </c>
      <c r="C222" s="1" t="str">
        <v>Libro de Reclamaciones</v>
      </c>
      <c r="D222" s="1" t="str">
        <v/>
      </c>
      <c r="E222" s="1" t="str">
        <v>Creación</v>
      </c>
      <c r="F222" s="1" t="str">
        <v>OP-0101</v>
      </c>
      <c r="G222" s="1" t="str">
        <v>Miguel Loayza</v>
      </c>
      <c r="H222" s="1" t="str">
        <v/>
      </c>
      <c r="I222" s="1" t="str">
        <v/>
      </c>
      <c r="J222" s="1" t="str">
        <v>Danny Mercado</v>
      </c>
      <c r="K222" s="1" t="str">
        <v>Walter Gonzales</v>
      </c>
      <c r="L222" s="1" t="str">
        <v>portalweb</v>
      </c>
      <c r="M222" s="1" t="str">
        <v>2026-07-21</v>
      </c>
      <c r="N222" s="1" t="str">
        <v/>
      </c>
      <c r="O222" s="1" t="str">
        <v/>
      </c>
      <c r="P222" s="1" t="str">
        <v/>
      </c>
      <c r="Q222" s="1" t="str">
        <v>2026-07-17</v>
      </c>
      <c r="R222" s="1" t="str">
        <f>IF(Q222="","","Q"&amp;ROUNDUP(MONTH(Q222)/3,0)&amp;"-"&amp;YEAR(Q222))</f>
        <v>Q3-2026</v>
      </c>
      <c r="S222" s="1" t="str">
        <v>Producción</v>
      </c>
      <c r="T222" s="1" t="str">
        <v/>
      </c>
      <c r="U222" s="1" t="str">
        <v>v1.0.0</v>
      </c>
      <c r="V222" s="1" t="str">
        <v>No</v>
      </c>
      <c r="W222" s="1" t="str">
        <v>Baja</v>
      </c>
      <c r="X222" s="1" t="str">
        <v/>
      </c>
      <c r="Y222" s="1" t="str">
        <v>Walter Gonzales</v>
      </c>
      <c r="Z222" s="1" t="str">
        <v>2026-07-21</v>
      </c>
      <c r="AA222" s="1" t="str">
        <v>Publicación inicial</v>
      </c>
      <c r="AB222" s="1" t="str">
        <v/>
      </c>
      <c r="AC222" s="1" t="str">
        <v/>
      </c>
      <c r="AD222" s="1" t="str">
        <v/>
      </c>
      <c r="AE222" s="1" t="str">
        <v/>
      </c>
      <c r="AF222" s="1" t="str">
        <v/>
      </c>
      <c r="AG222" s="1" t="str">
        <v/>
      </c>
      <c r="AH222" s="1" t="str">
        <v/>
      </c>
      <c r="AI222" s="1" t="str">
        <v/>
      </c>
      <c r="AJ222" s="1" t="str">
        <v/>
      </c>
      <c r="AK222" s="1" t="str">
        <v/>
      </c>
      <c r="AL222" s="1" t="str">
        <v/>
      </c>
    </row>
    <row r="223">
      <c r="A223" s="1" t="str">
        <v>HIST-0222</v>
      </c>
      <c r="B223" s="1" t="str">
        <v>D0132</v>
      </c>
      <c r="C223" s="1" t="str">
        <v>CRM</v>
      </c>
      <c r="D223" s="1" t="str">
        <v/>
      </c>
      <c r="E223" s="1" t="str">
        <v>Creación</v>
      </c>
      <c r="F223" s="1" t="str">
        <v>OP-0104</v>
      </c>
      <c r="G223" s="1" t="str">
        <v/>
      </c>
      <c r="H223" s="1" t="str">
        <v/>
      </c>
      <c r="I223" s="1" t="str">
        <v/>
      </c>
      <c r="J223" s="1" t="str">
        <v/>
      </c>
      <c r="K223" s="1" t="str">
        <v>Alan Gutierrez</v>
      </c>
      <c r="L223" s="1" t="str">
        <v/>
      </c>
      <c r="M223" s="1" t="str">
        <v>2026-08-03</v>
      </c>
      <c r="N223" s="1" t="str">
        <v>TBD</v>
      </c>
      <c r="O223" s="1" t="str">
        <v>TBD</v>
      </c>
      <c r="P223" s="1" t="str">
        <v>TBD</v>
      </c>
      <c r="Q223" s="1" t="str">
        <v>TBD</v>
      </c>
      <c r="R223" s="1" t="str">
        <f>IF(Q223="","","Q"&amp;ROUNDUP(MONTH(Q223)/3,0)&amp;"-"&amp;YEAR(Q223))</f>
        <v/>
      </c>
      <c r="S223" s="1" t="str">
        <v>Identificado</v>
      </c>
      <c r="T223" s="1" t="str">
        <v/>
      </c>
      <c r="U223" s="1" t="str">
        <v>v1.0.0</v>
      </c>
      <c r="V223" s="1" t="str">
        <v>No</v>
      </c>
      <c r="W223" s="1" t="str">
        <v>Media</v>
      </c>
      <c r="X223" s="1" t="str">
        <v/>
      </c>
      <c r="Y223" s="1" t="str">
        <v>Alan Gutierrez</v>
      </c>
      <c r="Z223" s="1" t="str">
        <v>2026-08-03</v>
      </c>
      <c r="AA223" s="1" t="str">
        <v>Publicación inicial</v>
      </c>
      <c r="AB223" s="1" t="str">
        <v/>
      </c>
      <c r="AC223" s="1" t="str">
        <v/>
      </c>
      <c r="AD223" s="1" t="str">
        <v/>
      </c>
      <c r="AE223" s="1" t="str">
        <v/>
      </c>
      <c r="AF223" s="1" t="str">
        <v/>
      </c>
      <c r="AG223" s="1" t="str">
        <v/>
      </c>
      <c r="AH223" s="1" t="str">
        <v/>
      </c>
      <c r="AI223" s="1" t="str">
        <v/>
      </c>
      <c r="AJ223" s="1" t="str">
        <v>Registrado</v>
      </c>
      <c r="AK223" s="1" t="str">
        <v/>
      </c>
      <c r="AL223" s="1" t="str">
        <v/>
      </c>
    </row>
  </sheetData>
  <ignoredErrors>
    <ignoredError numberStoredAsText="1" sqref="A1:AL223"/>
  </ignoredErrors>
</worksheet>
</file>

<file path=xl/worksheets/sheet4.xml><?xml version="1.0" encoding="utf-8"?>
<worksheet xmlns="http://schemas.openxmlformats.org/spreadsheetml/2006/main" xmlns:r="http://schemas.openxmlformats.org/officeDocument/2006/relationships">
  <dimension ref="A1:H1"/>
  <sheetViews>
    <sheetView workbookViewId="0"/>
  </sheetViews>
  <cols>
    <col min="1" max="1" width="19.83203125" customWidth="1"/>
    <col min="2" max="2" width="23.83203125" customWidth="1"/>
    <col min="3" max="3" width="26.83203125" customWidth="1"/>
    <col min="4" max="4" width="18.83203125" customWidth="1"/>
    <col min="5" max="5" width="22.83203125" customWidth="1"/>
    <col min="6" max="6" width="18.83203125" customWidth="1"/>
    <col min="7" max="7" width="12.83203125" customWidth="1"/>
    <col min="8" max="8" width="13.83203125" customWidth="1"/>
  </cols>
  <sheetData>
    <row r="1">
      <c r="A1" s="1" t="str">
        <v>ID_API_Consumidor</v>
      </c>
      <c r="B1" s="1" t="str">
        <v>Nombre_API_Consumidor</v>
      </c>
      <c r="C1" s="1" t="str">
        <v>Tipo_Artefacto_Consumido</v>
      </c>
      <c r="D1" s="1" t="str">
        <v>ID_API_Consumida</v>
      </c>
      <c r="E1" s="1" t="str">
        <v>Nombre_API_Consumida</v>
      </c>
      <c r="F1" s="1" t="str">
        <v>Tipo_Dependencia</v>
      </c>
      <c r="G1" s="1" t="str">
        <v>Criticidad</v>
      </c>
      <c r="H1" s="1" t="str">
        <v>Comentarios</v>
      </c>
    </row>
  </sheetData>
  <ignoredErrors>
    <ignoredError numberStoredAsText="1" sqref="A1:H1"/>
  </ignoredErrors>
</worksheet>
</file>

<file path=xl/worksheets/sheet5.xml><?xml version="1.0" encoding="utf-8"?>
<worksheet xmlns="http://schemas.openxmlformats.org/spreadsheetml/2006/main" xmlns:r="http://schemas.openxmlformats.org/officeDocument/2006/relationships">
  <dimension ref="A1:U8"/>
  <sheetViews>
    <sheetView workbookViewId="0"/>
  </sheetViews>
  <sheetData>
    <row r="1">
      <c r="A1" s="1" t="str">
        <v>Pais</v>
      </c>
      <c r="B1" s="1" t="str">
        <v>TipoAPI_BIAN</v>
      </c>
      <c r="C1" s="1" t="str">
        <v>EstadoGeneralAPI</v>
      </c>
      <c r="D1" s="1" t="str">
        <v>CriticidadBIAN</v>
      </c>
      <c r="E1" s="1" t="str">
        <v>ProtocoloEstilo</v>
      </c>
      <c r="F1" s="1" t="str">
        <v>CanalIntegracion</v>
      </c>
      <c r="G1" s="1" t="str">
        <v>MetodoHTTP</v>
      </c>
      <c r="H1" s="1" t="str">
        <v>EstadoOperacion</v>
      </c>
      <c r="I1" s="1" t="str">
        <v>EquipoPropietario</v>
      </c>
      <c r="J1" s="1" t="str">
        <v>Accion</v>
      </c>
      <c r="K1" s="1" t="str">
        <v>EstadoActual</v>
      </c>
      <c r="L1" s="1" t="str">
        <v>Complejidad</v>
      </c>
      <c r="M1" s="1" t="str">
        <v>BreakingChange</v>
      </c>
      <c r="N1" s="1" t="str">
        <v>TipoDependencia</v>
      </c>
      <c r="O1" s="1" t="str">
        <v>Criticidad</v>
      </c>
      <c r="P1" s="1" t="str">
        <v>SiNo</v>
      </c>
      <c r="Q1" s="1" t="str">
        <v>EstadoGobierno</v>
      </c>
      <c r="R1" s="1" t="str">
        <v>EtapaEstado</v>
      </c>
      <c r="S1" s="1" t="str">
        <v>EstadoValidacion</v>
      </c>
      <c r="T1" s="1" t="str">
        <v>TipoArtefactoConsumido</v>
      </c>
      <c r="U1" s="1" t="str">
        <v>TipoComponente</v>
      </c>
    </row>
    <row r="2">
      <c r="A2" s="1" t="str">
        <v>Perú</v>
      </c>
      <c r="B2" s="1" t="str">
        <v>EXP</v>
      </c>
      <c r="C2" s="1" t="str">
        <v>Activa</v>
      </c>
      <c r="D2" s="1" t="str">
        <v>Alta</v>
      </c>
      <c r="E2" s="1" t="str">
        <v>REST</v>
      </c>
      <c r="F2" s="1" t="str">
        <v>APIM</v>
      </c>
      <c r="G2" s="1" t="str">
        <v>GET</v>
      </c>
      <c r="H2" s="1" t="str">
        <v>Activa</v>
      </c>
      <c r="I2" s="1" t="str">
        <v>Interconexión</v>
      </c>
      <c r="J2" s="1" t="str">
        <v>Creación</v>
      </c>
      <c r="K2" s="1" t="str">
        <v>Identificado</v>
      </c>
      <c r="L2" s="1" t="str">
        <v>Baja</v>
      </c>
      <c r="M2" s="1" t="str">
        <v>Sí</v>
      </c>
      <c r="N2" s="1" t="str">
        <v>Síncrona (REST)</v>
      </c>
      <c r="O2" s="1" t="str">
        <v>Crítica</v>
      </c>
      <c r="P2" s="1" t="str">
        <v>Sí</v>
      </c>
      <c r="Q2" s="1" t="str">
        <v>Aprobado - creación nueva</v>
      </c>
      <c r="R2" s="1" t="str">
        <v>No iniciado</v>
      </c>
      <c r="S2" s="1" t="str">
        <v>Registrado</v>
      </c>
      <c r="T2" s="1" t="str">
        <v>Componente del Catálogo</v>
      </c>
      <c r="U2" s="1" t="str">
        <v>API</v>
      </c>
    </row>
    <row r="3">
      <c r="A3" s="1" t="str">
        <v>Colombia</v>
      </c>
      <c r="B3" s="1" t="str">
        <v>PROC</v>
      </c>
      <c r="C3" s="1" t="str">
        <v>En Desarrollo</v>
      </c>
      <c r="D3" s="1" t="str">
        <v>Media</v>
      </c>
      <c r="E3" s="1" t="str">
        <v>Evento</v>
      </c>
      <c r="F3" s="1" t="str">
        <v>AKS</v>
      </c>
      <c r="G3" s="1" t="str">
        <v>POST</v>
      </c>
      <c r="H3" s="1" t="str">
        <v>Deprecada</v>
      </c>
      <c r="I3" s="1" t="str">
        <v>Core / Legado</v>
      </c>
      <c r="J3" s="1" t="str">
        <v>Modificación</v>
      </c>
      <c r="K3" s="1" t="str">
        <v>Backlog</v>
      </c>
      <c r="L3" s="1" t="str">
        <v>Media</v>
      </c>
      <c r="M3" s="1" t="str">
        <v>No</v>
      </c>
      <c r="N3" s="1" t="str">
        <v>Asíncrona (Evento/Kafka)</v>
      </c>
      <c r="O3" s="1" t="str">
        <v>Alta</v>
      </c>
      <c r="P3" s="1" t="str">
        <v>No</v>
      </c>
      <c r="Q3" s="1" t="str">
        <v>Aprobado - modificación sobre API existente</v>
      </c>
      <c r="R3" s="1" t="str">
        <v>En proceso</v>
      </c>
      <c r="S3" s="1" t="str">
        <v>Observado</v>
      </c>
      <c r="T3" s="1" t="str">
        <v>Microservicio</v>
      </c>
      <c r="U3" s="1" t="str">
        <v>Microservicio</v>
      </c>
    </row>
    <row r="4">
      <c r="A4" s="1" t="str">
        <v>Otro</v>
      </c>
      <c r="B4" s="1" t="str">
        <v>SD</v>
      </c>
      <c r="C4" s="1" t="str">
        <v>En Mantenimiento</v>
      </c>
      <c r="D4" s="1" t="str">
        <v>Baja</v>
      </c>
      <c r="E4" s="1" t="str">
        <v>GraphQL</v>
      </c>
      <c r="F4" s="1" t="str">
        <v>Azure Event Hub</v>
      </c>
      <c r="G4" s="1" t="str">
        <v>PUT</v>
      </c>
      <c r="H4" s="1" t="str">
        <v/>
      </c>
      <c r="I4" s="1" t="str">
        <v>Otro</v>
      </c>
      <c r="J4" s="1" t="str">
        <v>Reutilización</v>
      </c>
      <c r="K4" s="1" t="str">
        <v>Diseño</v>
      </c>
      <c r="L4" s="1" t="str">
        <v>Alta</v>
      </c>
      <c r="M4" s="1" t="str">
        <v/>
      </c>
      <c r="N4" s="1" t="str">
        <v/>
      </c>
      <c r="O4" s="1" t="str">
        <v>Media</v>
      </c>
      <c r="P4" s="1" t="str">
        <v/>
      </c>
      <c r="Q4" s="1" t="str">
        <v>Aprobado - reutilización</v>
      </c>
      <c r="R4" s="1" t="str">
        <v>Finalizado</v>
      </c>
      <c r="S4" s="1" t="str">
        <v>Corregido</v>
      </c>
      <c r="T4" s="1" t="str">
        <v>Evento / Topic</v>
      </c>
      <c r="U4" s="1" t="str">
        <v>Tópico / Evento</v>
      </c>
    </row>
    <row r="5">
      <c r="A5" s="1" t="str">
        <v/>
      </c>
      <c r="B5" s="1" t="str">
        <v>SYS</v>
      </c>
      <c r="C5" s="1" t="str">
        <v>Deprecada</v>
      </c>
      <c r="D5" s="1" t="str">
        <v/>
      </c>
      <c r="E5" s="1" t="str">
        <v>SOAP</v>
      </c>
      <c r="F5" s="1" t="str">
        <v>OCP</v>
      </c>
      <c r="G5" s="1" t="str">
        <v>PATCH</v>
      </c>
      <c r="H5" s="1" t="str">
        <v/>
      </c>
      <c r="I5" s="1" t="str">
        <v/>
      </c>
      <c r="J5" s="1" t="str">
        <v/>
      </c>
      <c r="K5" s="1" t="str">
        <v>Desarrollo</v>
      </c>
      <c r="L5" s="1" t="str">
        <v/>
      </c>
      <c r="M5" s="1" t="str">
        <v/>
      </c>
      <c r="N5" s="1" t="str">
        <v/>
      </c>
      <c r="O5" s="1" t="str">
        <v>Baja</v>
      </c>
      <c r="P5" s="1" t="str">
        <v/>
      </c>
      <c r="Q5" s="1" t="str">
        <v>Pendiente de definición</v>
      </c>
      <c r="R5" s="1" t="str">
        <v>Desestimada</v>
      </c>
      <c r="S5" s="1" t="str">
        <v>Publicado</v>
      </c>
      <c r="T5" s="1" t="str">
        <v>Batch / Job</v>
      </c>
      <c r="U5" s="1" t="str">
        <v>Batch / Job</v>
      </c>
    </row>
    <row r="6">
      <c r="A6" s="1" t="str">
        <v/>
      </c>
      <c r="B6" s="1" t="str">
        <v/>
      </c>
      <c r="C6" s="1" t="str">
        <v/>
      </c>
      <c r="D6" s="1" t="str">
        <v/>
      </c>
      <c r="E6" s="1" t="str">
        <v>Otro</v>
      </c>
      <c r="F6" s="1" t="str">
        <v>CA</v>
      </c>
      <c r="G6" s="1" t="str">
        <v>DELETE</v>
      </c>
      <c r="H6" s="1" t="str">
        <v/>
      </c>
      <c r="I6" s="1" t="str">
        <v/>
      </c>
      <c r="J6" s="1" t="str">
        <v/>
      </c>
      <c r="K6" s="1" t="str">
        <v>Calidad</v>
      </c>
      <c r="L6" s="1" t="str">
        <v/>
      </c>
      <c r="M6" s="1" t="str">
        <v/>
      </c>
      <c r="N6" s="1" t="str">
        <v/>
      </c>
      <c r="O6" s="1" t="str">
        <v/>
      </c>
      <c r="P6" s="1" t="str">
        <v/>
      </c>
      <c r="Q6" s="1" t="str">
        <v>Revisar - posible duplicado en backlog</v>
      </c>
      <c r="R6" s="1" t="str">
        <v/>
      </c>
      <c r="S6" s="1" t="str">
        <v/>
      </c>
      <c r="T6" s="1" t="str">
        <v>Sistema Legado / Otro</v>
      </c>
      <c r="U6" s="1" t="str">
        <v>Sistema Legado / Otro</v>
      </c>
    </row>
    <row r="7">
      <c r="A7" s="1" t="str">
        <v/>
      </c>
      <c r="B7" s="1" t="str">
        <v/>
      </c>
      <c r="C7" s="1" t="str">
        <v/>
      </c>
      <c r="D7" s="1" t="str">
        <v/>
      </c>
      <c r="E7" s="1" t="str">
        <v/>
      </c>
      <c r="F7" s="1" t="str">
        <v/>
      </c>
      <c r="G7" s="1" t="str">
        <v/>
      </c>
      <c r="H7" s="1" t="str">
        <v/>
      </c>
      <c r="I7" s="1" t="str">
        <v/>
      </c>
      <c r="J7" s="1" t="str">
        <v/>
      </c>
      <c r="K7" s="1" t="str">
        <v>Producción</v>
      </c>
      <c r="L7" s="1" t="str">
        <v/>
      </c>
      <c r="M7" s="1" t="str">
        <v/>
      </c>
      <c r="N7" s="1" t="str">
        <v/>
      </c>
      <c r="O7" s="1" t="str">
        <v/>
      </c>
      <c r="P7" s="1" t="str">
        <v/>
      </c>
      <c r="Q7" s="1" t="str">
        <v>Revisar - ya existe en catálogo BIAN, evaluar reutilización</v>
      </c>
      <c r="R7" s="1" t="str">
        <v/>
      </c>
      <c r="S7" s="1" t="str">
        <v/>
      </c>
      <c r="T7" s="1" t="str">
        <v/>
      </c>
      <c r="U7" s="1" t="str">
        <v/>
      </c>
    </row>
    <row r="8">
      <c r="A8" s="1" t="str">
        <v/>
      </c>
      <c r="B8" s="1" t="str">
        <v/>
      </c>
      <c r="C8" s="1" t="str">
        <v/>
      </c>
      <c r="D8" s="1" t="str">
        <v/>
      </c>
      <c r="E8" s="1" t="str">
        <v/>
      </c>
      <c r="F8" s="1" t="str">
        <v/>
      </c>
      <c r="G8" s="1" t="str">
        <v/>
      </c>
      <c r="H8" s="1" t="str">
        <v/>
      </c>
      <c r="I8" s="1" t="str">
        <v/>
      </c>
      <c r="J8" s="1" t="str">
        <v/>
      </c>
      <c r="K8" s="1" t="str">
        <v>Deprecada</v>
      </c>
      <c r="L8" s="1" t="str">
        <v/>
      </c>
      <c r="M8" s="1" t="str">
        <v/>
      </c>
      <c r="N8" s="1" t="str">
        <v/>
      </c>
      <c r="O8" s="1" t="str">
        <v/>
      </c>
      <c r="P8" s="1" t="str">
        <v/>
      </c>
      <c r="Q8" s="1" t="str">
        <v/>
      </c>
      <c r="R8" s="1" t="str">
        <v/>
      </c>
      <c r="S8" s="1" t="str">
        <v/>
      </c>
      <c r="T8" s="1" t="str">
        <v/>
      </c>
      <c r="U8" s="1" t="str">
        <v/>
      </c>
    </row>
  </sheetData>
  <ignoredErrors>
    <ignoredError numberStoredAsText="1" sqref="A1:U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Catálogo_APIs</vt:lpstr>
      <vt:lpstr>Catálogo_Operaciones_API</vt:lpstr>
      <vt:lpstr>Histórico_Proyectos_API</vt:lpstr>
      <vt:lpstr>Dependencias_API</vt:lpstr>
      <vt:lpstr>Listas_Validacion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